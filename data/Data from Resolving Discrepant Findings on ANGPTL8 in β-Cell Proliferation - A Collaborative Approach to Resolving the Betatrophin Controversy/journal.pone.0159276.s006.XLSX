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6819"/>
  <workbookPr showInkAnnotation="0" autoCompressPictures="0"/>
  <bookViews>
    <workbookView xWindow="0" yWindow="0" windowWidth="25600" windowHeight="16060" tabRatio="659"/>
  </bookViews>
  <sheets>
    <sheet name="Suppl Table 6" sheetId="5" r:id="rId1"/>
  </sheets>
  <definedNames>
    <definedName name="_xlnm.Print_Area" localSheetId="0">'Suppl Table 6'!$B$3:$Q$25</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Q30" i="5" l="1"/>
  <c r="P30" i="5"/>
  <c r="O30" i="5"/>
  <c r="N30" i="5"/>
  <c r="M30" i="5"/>
  <c r="L30" i="5"/>
  <c r="K30" i="5"/>
  <c r="J30" i="5"/>
  <c r="I30" i="5"/>
  <c r="H30" i="5"/>
  <c r="G30" i="5"/>
  <c r="F30" i="5"/>
  <c r="E30" i="5"/>
  <c r="Q28" i="5"/>
  <c r="Q29" i="5"/>
  <c r="P28" i="5"/>
  <c r="P29" i="5"/>
  <c r="O28" i="5"/>
  <c r="O29" i="5"/>
  <c r="N28" i="5"/>
  <c r="N29" i="5"/>
  <c r="M28" i="5"/>
  <c r="M29" i="5"/>
  <c r="L28" i="5"/>
  <c r="L29" i="5"/>
  <c r="K28" i="5"/>
  <c r="K29" i="5"/>
  <c r="J28" i="5"/>
  <c r="J29" i="5"/>
  <c r="I28" i="5"/>
  <c r="I29" i="5"/>
  <c r="H28" i="5"/>
  <c r="H29" i="5"/>
  <c r="G28" i="5"/>
  <c r="G29" i="5"/>
  <c r="F28" i="5"/>
  <c r="F29" i="5"/>
  <c r="E28" i="5"/>
  <c r="E29" i="5"/>
  <c r="Q27" i="5"/>
  <c r="P27" i="5"/>
  <c r="O27" i="5"/>
  <c r="N27" i="5"/>
  <c r="M27" i="5"/>
  <c r="L27" i="5"/>
  <c r="K27" i="5"/>
  <c r="J27" i="5"/>
  <c r="I27" i="5"/>
  <c r="H27" i="5"/>
  <c r="G27" i="5"/>
  <c r="F27" i="5"/>
  <c r="E27" i="5"/>
  <c r="Q15" i="5"/>
  <c r="Q16" i="5"/>
  <c r="P15" i="5"/>
  <c r="P16" i="5"/>
  <c r="O15" i="5"/>
  <c r="O16" i="5"/>
  <c r="N15" i="5"/>
  <c r="N16" i="5"/>
  <c r="M15" i="5"/>
  <c r="M16" i="5"/>
  <c r="L15" i="5"/>
  <c r="L16" i="5"/>
  <c r="K15" i="5"/>
  <c r="K16" i="5"/>
  <c r="J15" i="5"/>
  <c r="J16" i="5"/>
  <c r="I15" i="5"/>
  <c r="I16" i="5"/>
  <c r="H15" i="5"/>
  <c r="H16" i="5"/>
  <c r="G15" i="5"/>
  <c r="G16" i="5"/>
  <c r="F15" i="5"/>
  <c r="F16" i="5"/>
  <c r="E15" i="5"/>
  <c r="E16" i="5"/>
  <c r="Q14" i="5"/>
  <c r="P14" i="5"/>
  <c r="O14" i="5"/>
  <c r="N14" i="5"/>
  <c r="M14" i="5"/>
  <c r="L14" i="5"/>
  <c r="K14" i="5"/>
  <c r="J14" i="5"/>
  <c r="I14" i="5"/>
  <c r="H14" i="5"/>
  <c r="G14" i="5"/>
  <c r="F14" i="5"/>
  <c r="E14" i="5"/>
</calcChain>
</file>

<file path=xl/sharedStrings.xml><?xml version="1.0" encoding="utf-8"?>
<sst xmlns="http://schemas.openxmlformats.org/spreadsheetml/2006/main" count="64" uniqueCount="43">
  <si>
    <t>MBP</t>
  </si>
  <si>
    <t>MBP+hBT</t>
  </si>
  <si>
    <t>CM7720</t>
  </si>
  <si>
    <t>CM7721</t>
  </si>
  <si>
    <t>CM7722</t>
  </si>
  <si>
    <t>CM7723</t>
  </si>
  <si>
    <t>CM7724</t>
  </si>
  <si>
    <t>CM7725</t>
  </si>
  <si>
    <t>CM7726</t>
  </si>
  <si>
    <t>CM7727</t>
  </si>
  <si>
    <t>CM7728</t>
  </si>
  <si>
    <t>CM7729</t>
  </si>
  <si>
    <t>CM7730</t>
  </si>
  <si>
    <t>CM7731</t>
  </si>
  <si>
    <t>CM7732</t>
  </si>
  <si>
    <t>CM7733</t>
  </si>
  <si>
    <t>CM7734</t>
  </si>
  <si>
    <t>CM7735</t>
  </si>
  <si>
    <t>CM7736</t>
  </si>
  <si>
    <t>CM7737</t>
  </si>
  <si>
    <t>CM7738</t>
  </si>
  <si>
    <t>CM7739</t>
  </si>
  <si>
    <t>Animal ID#</t>
  </si>
  <si>
    <t>Treatment</t>
  </si>
  <si>
    <t>Average</t>
  </si>
  <si>
    <t>Standard Deviation</t>
  </si>
  <si>
    <t>Standard Error</t>
  </si>
  <si>
    <t>Slide #</t>
  </si>
  <si>
    <r>
      <t>p</t>
    </r>
    <r>
      <rPr>
        <b/>
        <sz val="12"/>
        <rFont val="Arial"/>
      </rPr>
      <t xml:space="preserve"> value (t-test)</t>
    </r>
  </si>
  <si>
    <t>Total # of Islets</t>
  </si>
  <si>
    <t>Total DAPI+ Islet Cells</t>
  </si>
  <si>
    <t>Islet Cells per Islet</t>
  </si>
  <si>
    <t>EdU+ DAPI+ Islet Cells</t>
  </si>
  <si>
    <t>EdU+ DAPI+ Cells (% Total Islet Cells)</t>
  </si>
  <si>
    <t>Total Nkx6.1+ Insulin+ DAPI+ Cells</t>
  </si>
  <si>
    <t>β-Cells per Islet</t>
  </si>
  <si>
    <t>EdU+ Nkx6.1+ Insulin+ DAPI+ Cells</t>
  </si>
  <si>
    <t>EdU+ Nkx6.1+ Insulin+ DAPI+ Cells (% Total Nkx6.1+ Insulin+ DAPI+ Cells)</t>
  </si>
  <si>
    <t>Insulin- DAPI+ Islet Cells</t>
  </si>
  <si>
    <t>Non-β Islet Cells per Islet</t>
  </si>
  <si>
    <t>EdU+ Insulin- DAPI+ Islet Cells</t>
  </si>
  <si>
    <t>EdU+ Insulin- DAPI+ Cells (% Total Insulin- DAPI+ Islet Cells)</t>
  </si>
  <si>
    <r>
      <t xml:space="preserve">Supplemental Table 6. Individual data for islet cell, β-cell, and non-β islet cell counts &amp; proliferation using Nkx6.1 as a marker for β-cells. </t>
    </r>
    <r>
      <rPr>
        <sz val="12"/>
        <color theme="1"/>
        <rFont val="Arial"/>
      </rPr>
      <t>Measurements were recorded from 10-week-old CD1 male mice injected with maltose binding protein (MBP; control) or MBP-human betatrophin (hBT) fusion protein for two days and sacrificed on day three. Islet cells were identified by dilating the insulin area by one cell’s diameter and then filling all holes within the region of the object. β-cells were identified by Nkx6.1+ cells co-localized with DAPI surrounded by insulin. Non-β islet cells were calculated by subtracting the β-cell counts from the total islet cell counts.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</si>
</sst>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7" formatCode="0.000000"/>
  </numFmts>
  <fonts count="13" x14ac:knownFonts="1">
    <font>
      <sz val="12"/>
      <color theme="1"/>
      <name val="Calibri"/>
      <family val="2"/>
      <scheme val="minor"/>
    </font>
    <font>
      <sz val="12"/>
      <color theme="1"/>
      <name val="Calibri"/>
      <family val="2"/>
      <scheme val="minor"/>
    </font>
    <font>
      <sz val="12"/>
      <color theme="1"/>
      <name val="Calibri"/>
      <family val="2"/>
      <scheme val="minor"/>
    </font>
    <font>
      <sz val="10"/>
      <name val="Verdana"/>
      <family val="2"/>
    </font>
    <font>
      <sz val="11"/>
      <color theme="1"/>
      <name val="Calibri"/>
      <family val="2"/>
      <scheme val="minor"/>
    </font>
    <font>
      <u/>
      <sz val="12"/>
      <color theme="10"/>
      <name val="Calibri"/>
      <family val="2"/>
      <scheme val="minor"/>
    </font>
    <font>
      <u/>
      <sz val="12"/>
      <color theme="11"/>
      <name val="Calibri"/>
      <family val="2"/>
      <scheme val="minor"/>
    </font>
    <font>
      <sz val="12"/>
      <color theme="1"/>
      <name val="Arial"/>
    </font>
    <font>
      <b/>
      <sz val="12"/>
      <color theme="1"/>
      <name val="Arial"/>
    </font>
    <font>
      <sz val="12"/>
      <name val="Arial"/>
    </font>
    <font>
      <b/>
      <sz val="12"/>
      <name val="Arial"/>
    </font>
    <font>
      <b/>
      <i/>
      <sz val="12"/>
      <name val="Arial"/>
    </font>
    <font>
      <b/>
      <sz val="11.5"/>
      <color theme="1"/>
      <name val="Arial"/>
    </font>
  </fonts>
  <fills count="4">
    <fill>
      <patternFill patternType="none"/>
    </fill>
    <fill>
      <patternFill patternType="gray125"/>
    </fill>
    <fill>
      <patternFill patternType="solid">
        <fgColor theme="0" tint="-0.14999847407452621"/>
        <bgColor indexed="64"/>
      </patternFill>
    </fill>
    <fill>
      <patternFill patternType="lightUp"/>
    </fill>
  </fills>
  <borders count="33">
    <border>
      <left/>
      <right/>
      <top/>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thin">
        <color auto="1"/>
      </top>
      <bottom/>
      <diagonal/>
    </border>
  </borders>
  <cellStyleXfs count="93">
    <xf numFmtId="0" fontId="0" fillId="0" borderId="0"/>
    <xf numFmtId="0" fontId="2" fillId="0" borderId="0"/>
    <xf numFmtId="0" fontId="3"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71">
    <xf numFmtId="0" fontId="0" fillId="0" borderId="0" xfId="0"/>
    <xf numFmtId="0" fontId="9" fillId="0" borderId="0" xfId="2" applyFont="1" applyAlignment="1">
      <alignment horizontal="center" vertical="center"/>
    </xf>
    <xf numFmtId="0" fontId="8" fillId="0" borderId="2" xfId="2" applyFont="1" applyFill="1" applyBorder="1" applyAlignment="1">
      <alignment horizontal="center" vertical="center" wrapText="1"/>
    </xf>
    <xf numFmtId="0" fontId="8" fillId="0" borderId="4" xfId="2" applyFont="1" applyFill="1" applyBorder="1" applyAlignment="1">
      <alignment horizontal="center" vertical="center" wrapText="1"/>
    </xf>
    <xf numFmtId="0" fontId="8" fillId="0" borderId="3" xfId="2" applyFont="1" applyFill="1" applyBorder="1" applyAlignment="1">
      <alignment horizontal="center" vertical="center" wrapText="1"/>
    </xf>
    <xf numFmtId="0" fontId="8" fillId="0" borderId="5" xfId="2" applyFont="1" applyFill="1" applyBorder="1" applyAlignment="1">
      <alignment horizontal="center" vertical="center" wrapText="1"/>
    </xf>
    <xf numFmtId="164" fontId="9" fillId="0" borderId="9" xfId="2" applyNumberFormat="1" applyFont="1" applyBorder="1" applyAlignment="1">
      <alignment horizontal="center"/>
    </xf>
    <xf numFmtId="1" fontId="9" fillId="0" borderId="9" xfId="2" applyNumberFormat="1" applyFont="1" applyBorder="1" applyAlignment="1">
      <alignment horizontal="center"/>
    </xf>
    <xf numFmtId="1" fontId="9" fillId="0" borderId="10" xfId="2" applyNumberFormat="1" applyFont="1" applyBorder="1" applyAlignment="1">
      <alignment horizontal="center"/>
    </xf>
    <xf numFmtId="164" fontId="9" fillId="0" borderId="13" xfId="2" applyNumberFormat="1" applyFont="1" applyBorder="1" applyAlignment="1">
      <alignment horizontal="center"/>
    </xf>
    <xf numFmtId="1" fontId="9" fillId="0" borderId="13" xfId="2" applyNumberFormat="1" applyFont="1" applyBorder="1" applyAlignment="1">
      <alignment horizontal="center"/>
    </xf>
    <xf numFmtId="1" fontId="9" fillId="0" borderId="6" xfId="2" applyNumberFormat="1" applyFont="1" applyBorder="1" applyAlignment="1">
      <alignment horizontal="center"/>
    </xf>
    <xf numFmtId="164" fontId="9" fillId="2" borderId="12" xfId="2" applyNumberFormat="1" applyFont="1" applyFill="1" applyBorder="1" applyAlignment="1">
      <alignment horizontal="center"/>
    </xf>
    <xf numFmtId="164" fontId="9" fillId="2" borderId="13" xfId="2" applyNumberFormat="1" applyFont="1" applyFill="1" applyBorder="1" applyAlignment="1">
      <alignment horizontal="center"/>
    </xf>
    <xf numFmtId="164" fontId="9" fillId="2" borderId="18" xfId="2" applyNumberFormat="1" applyFont="1" applyFill="1" applyBorder="1" applyAlignment="1">
      <alignment horizontal="center"/>
    </xf>
    <xf numFmtId="164" fontId="9" fillId="2" borderId="19" xfId="2" applyNumberFormat="1" applyFont="1" applyFill="1" applyBorder="1" applyAlignment="1">
      <alignment horizontal="center"/>
    </xf>
    <xf numFmtId="164" fontId="9" fillId="0" borderId="22" xfId="2" applyNumberFormat="1" applyFont="1" applyBorder="1" applyAlignment="1">
      <alignment horizontal="center"/>
    </xf>
    <xf numFmtId="1" fontId="9" fillId="0" borderId="22" xfId="2" applyNumberFormat="1" applyFont="1" applyBorder="1" applyAlignment="1">
      <alignment horizontal="center"/>
    </xf>
    <xf numFmtId="1" fontId="9" fillId="0" borderId="23" xfId="2" applyNumberFormat="1" applyFont="1" applyBorder="1" applyAlignment="1">
      <alignment horizontal="center"/>
    </xf>
    <xf numFmtId="164" fontId="9" fillId="2" borderId="27" xfId="2" applyNumberFormat="1" applyFont="1" applyFill="1" applyBorder="1" applyAlignment="1">
      <alignment horizontal="center"/>
    </xf>
    <xf numFmtId="164" fontId="9" fillId="2" borderId="28" xfId="2" applyNumberFormat="1" applyFont="1" applyFill="1" applyBorder="1" applyAlignment="1">
      <alignment horizontal="center"/>
    </xf>
    <xf numFmtId="0" fontId="9" fillId="0" borderId="0" xfId="2" applyFont="1" applyBorder="1" applyAlignment="1">
      <alignment horizontal="left" vertical="center"/>
    </xf>
    <xf numFmtId="0" fontId="9" fillId="0" borderId="0" xfId="2" applyFont="1" applyBorder="1" applyAlignment="1">
      <alignment horizontal="center" vertical="center"/>
    </xf>
    <xf numFmtId="0" fontId="10" fillId="0" borderId="30" xfId="2" applyFont="1" applyFill="1" applyBorder="1" applyAlignment="1">
      <alignment horizontal="center" vertical="center" wrapText="1"/>
    </xf>
    <xf numFmtId="0" fontId="10" fillId="0" borderId="4"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9" fillId="0" borderId="0" xfId="2" applyFont="1" applyBorder="1" applyAlignment="1">
      <alignment horizontal="center" vertical="center" wrapText="1"/>
    </xf>
    <xf numFmtId="0" fontId="9" fillId="2" borderId="14" xfId="2" applyFont="1" applyFill="1" applyBorder="1" applyAlignment="1">
      <alignment horizontal="center"/>
    </xf>
    <xf numFmtId="0" fontId="9" fillId="2" borderId="9" xfId="2" applyFont="1" applyFill="1" applyBorder="1" applyAlignment="1">
      <alignment horizontal="center"/>
    </xf>
    <xf numFmtId="0" fontId="9" fillId="0" borderId="11" xfId="2" applyFont="1" applyFill="1" applyBorder="1" applyAlignment="1">
      <alignment horizontal="center"/>
    </xf>
    <xf numFmtId="1" fontId="9" fillId="0" borderId="8" xfId="2" applyNumberFormat="1" applyFont="1" applyBorder="1" applyAlignment="1">
      <alignment horizontal="center"/>
    </xf>
    <xf numFmtId="0" fontId="9" fillId="2" borderId="13" xfId="2" applyFont="1" applyFill="1" applyBorder="1" applyAlignment="1">
      <alignment horizontal="center"/>
    </xf>
    <xf numFmtId="0" fontId="9" fillId="0" borderId="7" xfId="2" applyFont="1" applyFill="1" applyBorder="1" applyAlignment="1">
      <alignment horizontal="center"/>
    </xf>
    <xf numFmtId="1" fontId="9" fillId="0" borderId="12" xfId="2" applyNumberFormat="1" applyFont="1" applyBorder="1" applyAlignment="1">
      <alignment horizontal="center"/>
    </xf>
    <xf numFmtId="2" fontId="9" fillId="0" borderId="6" xfId="2" applyNumberFormat="1" applyFont="1" applyBorder="1" applyAlignment="1">
      <alignment horizontal="center"/>
    </xf>
    <xf numFmtId="2" fontId="9" fillId="0" borderId="7" xfId="2" applyNumberFormat="1" applyFont="1" applyBorder="1" applyAlignment="1">
      <alignment horizontal="center"/>
    </xf>
    <xf numFmtId="0" fontId="10" fillId="2" borderId="14" xfId="2" applyFont="1" applyFill="1" applyBorder="1" applyAlignment="1"/>
    <xf numFmtId="0" fontId="10" fillId="2" borderId="15" xfId="2" applyFont="1" applyFill="1" applyBorder="1" applyAlignment="1"/>
    <xf numFmtId="0" fontId="10" fillId="3" borderId="7" xfId="2" applyFont="1" applyFill="1" applyBorder="1" applyAlignment="1"/>
    <xf numFmtId="2" fontId="10" fillId="2" borderId="16" xfId="2" applyNumberFormat="1" applyFont="1" applyFill="1" applyBorder="1" applyAlignment="1"/>
    <xf numFmtId="2" fontId="10" fillId="2" borderId="17" xfId="2" applyNumberFormat="1" applyFont="1" applyFill="1" applyBorder="1" applyAlignment="1"/>
    <xf numFmtId="2" fontId="9" fillId="0" borderId="0" xfId="2" applyNumberFormat="1" applyFont="1" applyBorder="1" applyAlignment="1">
      <alignment horizontal="center" vertical="center"/>
    </xf>
    <xf numFmtId="0" fontId="9" fillId="2" borderId="22" xfId="2" applyFont="1" applyFill="1" applyBorder="1" applyAlignment="1">
      <alignment horizontal="center"/>
    </xf>
    <xf numFmtId="0" fontId="9" fillId="0" borderId="24" xfId="2" applyFont="1" applyFill="1" applyBorder="1" applyAlignment="1">
      <alignment horizontal="center"/>
    </xf>
    <xf numFmtId="1" fontId="9" fillId="0" borderId="21" xfId="2" applyNumberFormat="1" applyFont="1" applyBorder="1" applyAlignment="1">
      <alignment horizontal="center"/>
    </xf>
    <xf numFmtId="2" fontId="10" fillId="2" borderId="25" xfId="2" applyNumberFormat="1" applyFont="1" applyFill="1" applyBorder="1" applyAlignment="1"/>
    <xf numFmtId="2" fontId="10" fillId="2" borderId="26" xfId="2" applyNumberFormat="1" applyFont="1" applyFill="1" applyBorder="1" applyAlignment="1"/>
    <xf numFmtId="0" fontId="10" fillId="3" borderId="32" xfId="2" applyFont="1" applyFill="1" applyBorder="1" applyAlignment="1"/>
    <xf numFmtId="2" fontId="11" fillId="2" borderId="25" xfId="2" applyNumberFormat="1" applyFont="1" applyFill="1" applyBorder="1" applyAlignment="1"/>
    <xf numFmtId="2" fontId="11" fillId="2" borderId="31" xfId="2" applyNumberFormat="1" applyFont="1" applyFill="1" applyBorder="1" applyAlignment="1"/>
    <xf numFmtId="0" fontId="10" fillId="3" borderId="5" xfId="2" applyFont="1" applyFill="1" applyBorder="1" applyAlignment="1"/>
    <xf numFmtId="2" fontId="9" fillId="2" borderId="27" xfId="2" applyNumberFormat="1" applyFont="1" applyFill="1" applyBorder="1" applyAlignment="1">
      <alignment horizontal="center"/>
    </xf>
    <xf numFmtId="2" fontId="9" fillId="2" borderId="28" xfId="2" applyNumberFormat="1" applyFont="1" applyFill="1" applyBorder="1" applyAlignment="1">
      <alignment horizontal="center"/>
    </xf>
    <xf numFmtId="2" fontId="9" fillId="2" borderId="29" xfId="2" applyNumberFormat="1" applyFont="1" applyFill="1" applyBorder="1" applyAlignment="1">
      <alignment horizontal="center"/>
    </xf>
    <xf numFmtId="167" fontId="9" fillId="0" borderId="0" xfId="2" applyNumberFormat="1" applyFont="1" applyBorder="1" applyAlignment="1">
      <alignment horizontal="center" vertical="center"/>
    </xf>
    <xf numFmtId="167" fontId="9" fillId="0" borderId="0" xfId="2" applyNumberFormat="1" applyFont="1" applyAlignment="1">
      <alignment horizontal="center" vertical="center"/>
    </xf>
    <xf numFmtId="164" fontId="9" fillId="0" borderId="0" xfId="2" applyNumberFormat="1" applyFont="1" applyBorder="1" applyAlignment="1">
      <alignment horizontal="center" vertical="center"/>
    </xf>
    <xf numFmtId="164" fontId="9" fillId="0" borderId="0" xfId="2" applyNumberFormat="1" applyFont="1" applyAlignment="1">
      <alignment horizontal="center" vertical="center"/>
    </xf>
    <xf numFmtId="0" fontId="12" fillId="0" borderId="0" xfId="0" applyFont="1" applyAlignment="1">
      <alignment vertical="center" wrapText="1"/>
    </xf>
    <xf numFmtId="0" fontId="9" fillId="0" borderId="0" xfId="2" applyFont="1" applyAlignment="1">
      <alignment horizontal="left" vertical="center"/>
    </xf>
    <xf numFmtId="2" fontId="9" fillId="0" borderId="10" xfId="2" applyNumberFormat="1" applyFont="1" applyBorder="1" applyAlignment="1">
      <alignment horizontal="center"/>
    </xf>
    <xf numFmtId="2" fontId="9" fillId="0" borderId="11" xfId="2" applyNumberFormat="1" applyFont="1" applyBorder="1" applyAlignment="1">
      <alignment horizontal="center"/>
    </xf>
    <xf numFmtId="2" fontId="9" fillId="2" borderId="13" xfId="2" applyNumberFormat="1" applyFont="1" applyFill="1" applyBorder="1" applyAlignment="1">
      <alignment horizontal="center"/>
    </xf>
    <xf numFmtId="2" fontId="9" fillId="2" borderId="7" xfId="2" applyNumberFormat="1" applyFont="1" applyFill="1" applyBorder="1" applyAlignment="1">
      <alignment horizontal="center"/>
    </xf>
    <xf numFmtId="2" fontId="9" fillId="2" borderId="19" xfId="2" applyNumberFormat="1" applyFont="1" applyFill="1" applyBorder="1" applyAlignment="1">
      <alignment horizontal="center"/>
    </xf>
    <xf numFmtId="2" fontId="9" fillId="2" borderId="20" xfId="2" applyNumberFormat="1" applyFont="1" applyFill="1" applyBorder="1" applyAlignment="1">
      <alignment horizontal="center"/>
    </xf>
    <xf numFmtId="2" fontId="9" fillId="0" borderId="23" xfId="2" applyNumberFormat="1" applyFont="1" applyBorder="1" applyAlignment="1">
      <alignment horizontal="center"/>
    </xf>
    <xf numFmtId="2" fontId="9" fillId="0" borderId="24" xfId="2" applyNumberFormat="1" applyFont="1" applyBorder="1" applyAlignment="1">
      <alignment horizontal="center"/>
    </xf>
    <xf numFmtId="165" fontId="9" fillId="2" borderId="28" xfId="2" applyNumberFormat="1" applyFont="1" applyFill="1" applyBorder="1" applyAlignment="1">
      <alignment horizontal="center"/>
    </xf>
    <xf numFmtId="167" fontId="9" fillId="2" borderId="29" xfId="2" applyNumberFormat="1" applyFont="1" applyFill="1" applyBorder="1" applyAlignment="1">
      <alignment horizontal="center"/>
    </xf>
    <xf numFmtId="0" fontId="8" fillId="0" borderId="1" xfId="0" applyFont="1" applyBorder="1" applyAlignment="1">
      <alignment vertical="center" wrapText="1"/>
    </xf>
  </cellXfs>
  <cellStyles count="93">
    <cellStyle name="Followed Hyperlink" xfId="12"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1"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 name="Normal 2" xfId="1"/>
    <cellStyle name="Normal 2 2" xfId="2"/>
    <cellStyle name="Normal 2 3" xfId="3"/>
    <cellStyle name="Normal 2 4" xfId="4"/>
    <cellStyle name="Normal 2 5" xfId="5"/>
    <cellStyle name="Normal 2 6" xfId="6"/>
    <cellStyle name="Normal 2 6 2" xfId="14"/>
    <cellStyle name="Normal 3" xfId="7"/>
    <cellStyle name="Normal 3 2" xfId="8"/>
    <cellStyle name="Normal 3 3" xfId="9"/>
    <cellStyle name="Normal 3 4" xfId="10"/>
    <cellStyle name="Normal 3 5" xfId="13"/>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1:GB36"/>
  <sheetViews>
    <sheetView tabSelected="1" workbookViewId="0">
      <selection activeCell="A2" sqref="A2"/>
    </sheetView>
  </sheetViews>
  <sheetFormatPr baseColWidth="10" defaultColWidth="12.5" defaultRowHeight="15" x14ac:dyDescent="0"/>
  <cols>
    <col min="1" max="1" width="4.1640625" style="22" customWidth="1"/>
    <col min="2" max="2" width="14.1640625" style="1" customWidth="1"/>
    <col min="3" max="3" width="16" style="22" customWidth="1"/>
    <col min="4" max="4" width="11.1640625" style="22" customWidth="1"/>
    <col min="5" max="5" width="10.1640625" style="22" customWidth="1"/>
    <col min="6" max="6" width="12.83203125" style="22" customWidth="1"/>
    <col min="7" max="7" width="11.83203125" style="22" customWidth="1"/>
    <col min="8" max="8" width="14.6640625" style="22" customWidth="1"/>
    <col min="9" max="9" width="15.5" style="22" customWidth="1"/>
    <col min="10" max="10" width="17.33203125" style="1" customWidth="1"/>
    <col min="11" max="11" width="12.1640625" style="1" customWidth="1"/>
    <col min="12" max="12" width="16.6640625" style="1" customWidth="1"/>
    <col min="13" max="13" width="22" style="1" customWidth="1"/>
    <col min="14" max="14" width="15.6640625" style="1" customWidth="1"/>
    <col min="15" max="15" width="14.83203125" style="1" customWidth="1"/>
    <col min="16" max="16" width="17.1640625" style="1" customWidth="1"/>
    <col min="17" max="17" width="24.33203125" style="1" customWidth="1"/>
    <col min="18" max="18" width="18.33203125" style="1" customWidth="1"/>
    <col min="19" max="106" width="12.5" style="1"/>
    <col min="107" max="16384" width="12.5" style="22"/>
  </cols>
  <sheetData>
    <row r="1" spans="2:184">
      <c r="B1" s="21"/>
      <c r="C1" s="21"/>
      <c r="D1" s="21"/>
      <c r="E1" s="21"/>
      <c r="F1" s="21"/>
      <c r="G1" s="21"/>
      <c r="H1" s="21"/>
      <c r="I1" s="21"/>
    </row>
    <row r="2" spans="2:184" s="1" customFormat="1" ht="57" customHeight="1" thickBot="1">
      <c r="B2" s="70" t="s">
        <v>42</v>
      </c>
      <c r="C2" s="70"/>
      <c r="D2" s="70"/>
      <c r="E2" s="70"/>
      <c r="F2" s="70"/>
      <c r="G2" s="70"/>
      <c r="H2" s="70"/>
      <c r="I2" s="70"/>
      <c r="J2" s="70"/>
      <c r="K2" s="70"/>
      <c r="L2" s="70"/>
      <c r="M2" s="70"/>
      <c r="N2" s="70"/>
      <c r="O2" s="70"/>
      <c r="P2" s="70"/>
      <c r="Q2" s="70"/>
    </row>
    <row r="3" spans="2:184" s="26" customFormat="1" ht="67" customHeight="1" thickBot="1">
      <c r="B3" s="23" t="s">
        <v>22</v>
      </c>
      <c r="C3" s="24" t="s">
        <v>23</v>
      </c>
      <c r="D3" s="25" t="s">
        <v>27</v>
      </c>
      <c r="E3" s="2" t="s">
        <v>29</v>
      </c>
      <c r="F3" s="3" t="s">
        <v>30</v>
      </c>
      <c r="G3" s="3" t="s">
        <v>31</v>
      </c>
      <c r="H3" s="3" t="s">
        <v>32</v>
      </c>
      <c r="I3" s="3" t="s">
        <v>33</v>
      </c>
      <c r="J3" s="3" t="s">
        <v>34</v>
      </c>
      <c r="K3" s="4" t="s">
        <v>35</v>
      </c>
      <c r="L3" s="4" t="s">
        <v>36</v>
      </c>
      <c r="M3" s="4" t="s">
        <v>37</v>
      </c>
      <c r="N3" s="4" t="s">
        <v>38</v>
      </c>
      <c r="O3" s="4" t="s">
        <v>39</v>
      </c>
      <c r="P3" s="4" t="s">
        <v>40</v>
      </c>
      <c r="Q3" s="5" t="s">
        <v>41</v>
      </c>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row>
    <row r="4" spans="2:184" ht="16" customHeight="1">
      <c r="B4" s="27" t="s">
        <v>3</v>
      </c>
      <c r="C4" s="28" t="s">
        <v>0</v>
      </c>
      <c r="D4" s="29">
        <v>8</v>
      </c>
      <c r="E4" s="30">
        <v>74</v>
      </c>
      <c r="F4" s="7">
        <v>9582</v>
      </c>
      <c r="G4" s="6">
        <v>129.48648648648648</v>
      </c>
      <c r="H4" s="7">
        <v>132</v>
      </c>
      <c r="I4" s="60">
        <v>1.3775829680651221</v>
      </c>
      <c r="J4" s="8">
        <v>4587</v>
      </c>
      <c r="K4" s="8">
        <v>61.986486486486484</v>
      </c>
      <c r="L4" s="8">
        <v>71</v>
      </c>
      <c r="M4" s="60">
        <v>1.5478526269893176</v>
      </c>
      <c r="N4" s="8">
        <v>4995</v>
      </c>
      <c r="O4" s="8">
        <v>67.5</v>
      </c>
      <c r="P4" s="8">
        <v>61</v>
      </c>
      <c r="Q4" s="61">
        <v>1.2212212212212212</v>
      </c>
      <c r="CX4" s="22"/>
      <c r="CY4" s="22"/>
      <c r="CZ4" s="22"/>
      <c r="DA4" s="22"/>
      <c r="DB4" s="22"/>
    </row>
    <row r="5" spans="2:184" ht="16" customHeight="1">
      <c r="B5" s="27" t="s">
        <v>4</v>
      </c>
      <c r="C5" s="31" t="s">
        <v>0</v>
      </c>
      <c r="D5" s="32">
        <v>8</v>
      </c>
      <c r="E5" s="33">
        <v>70</v>
      </c>
      <c r="F5" s="10">
        <v>10160</v>
      </c>
      <c r="G5" s="9">
        <v>145.14285714285714</v>
      </c>
      <c r="H5" s="10">
        <v>135</v>
      </c>
      <c r="I5" s="34">
        <v>1.328740157480315</v>
      </c>
      <c r="J5" s="11">
        <v>4596</v>
      </c>
      <c r="K5" s="11">
        <v>65.657142857142858</v>
      </c>
      <c r="L5" s="11">
        <v>62</v>
      </c>
      <c r="M5" s="34">
        <v>1.3489991296779809</v>
      </c>
      <c r="N5" s="11">
        <v>5564</v>
      </c>
      <c r="O5" s="11">
        <v>79.48571428571428</v>
      </c>
      <c r="P5" s="11">
        <v>73</v>
      </c>
      <c r="Q5" s="35">
        <v>1.3120057512580876</v>
      </c>
      <c r="CX5" s="22"/>
      <c r="CY5" s="22"/>
      <c r="CZ5" s="22"/>
      <c r="DA5" s="22"/>
      <c r="DB5" s="22"/>
    </row>
    <row r="6" spans="2:184" ht="16" customHeight="1">
      <c r="B6" s="27" t="s">
        <v>7</v>
      </c>
      <c r="C6" s="31" t="s">
        <v>0</v>
      </c>
      <c r="D6" s="32">
        <v>8</v>
      </c>
      <c r="E6" s="33">
        <v>75</v>
      </c>
      <c r="F6" s="10">
        <v>9400</v>
      </c>
      <c r="G6" s="9">
        <v>125.33333333333333</v>
      </c>
      <c r="H6" s="10">
        <v>144</v>
      </c>
      <c r="I6" s="34">
        <v>1.5319148936170213</v>
      </c>
      <c r="J6" s="11">
        <v>4018</v>
      </c>
      <c r="K6" s="11">
        <v>53.573333333333331</v>
      </c>
      <c r="L6" s="11">
        <v>44</v>
      </c>
      <c r="M6" s="34">
        <v>1.0950721752115482</v>
      </c>
      <c r="N6" s="11">
        <v>5382</v>
      </c>
      <c r="O6" s="11">
        <v>71.760000000000005</v>
      </c>
      <c r="P6" s="11">
        <v>100</v>
      </c>
      <c r="Q6" s="35">
        <v>1.8580453363062059</v>
      </c>
      <c r="CX6" s="22"/>
      <c r="CY6" s="22"/>
      <c r="CZ6" s="22"/>
      <c r="DA6" s="22"/>
      <c r="DB6" s="22"/>
    </row>
    <row r="7" spans="2:184" ht="16" customHeight="1">
      <c r="B7" s="27" t="s">
        <v>8</v>
      </c>
      <c r="C7" s="31" t="s">
        <v>0</v>
      </c>
      <c r="D7" s="32">
        <v>8</v>
      </c>
      <c r="E7" s="33">
        <v>59</v>
      </c>
      <c r="F7" s="10">
        <v>6740</v>
      </c>
      <c r="G7" s="9">
        <v>114.23728813559322</v>
      </c>
      <c r="H7" s="10">
        <v>57</v>
      </c>
      <c r="I7" s="34">
        <v>0.8456973293768546</v>
      </c>
      <c r="J7" s="11">
        <v>3066</v>
      </c>
      <c r="K7" s="11">
        <v>51.966101694915253</v>
      </c>
      <c r="L7" s="11">
        <v>9</v>
      </c>
      <c r="M7" s="34">
        <v>0.29354207436399216</v>
      </c>
      <c r="N7" s="11">
        <v>3674</v>
      </c>
      <c r="O7" s="11">
        <v>62.271186440677965</v>
      </c>
      <c r="P7" s="11">
        <v>48</v>
      </c>
      <c r="Q7" s="35">
        <v>1.3064779531845399</v>
      </c>
      <c r="CX7" s="22"/>
      <c r="CY7" s="22"/>
      <c r="CZ7" s="22"/>
      <c r="DA7" s="22"/>
      <c r="DB7" s="22"/>
    </row>
    <row r="8" spans="2:184" ht="16" customHeight="1">
      <c r="B8" s="27" t="s">
        <v>11</v>
      </c>
      <c r="C8" s="31" t="s">
        <v>0</v>
      </c>
      <c r="D8" s="32">
        <v>8</v>
      </c>
      <c r="E8" s="33">
        <v>58</v>
      </c>
      <c r="F8" s="10">
        <v>7031</v>
      </c>
      <c r="G8" s="9">
        <v>121.22413793103448</v>
      </c>
      <c r="H8" s="10">
        <v>82</v>
      </c>
      <c r="I8" s="34">
        <v>1.1662636893756222</v>
      </c>
      <c r="J8" s="11">
        <v>3387</v>
      </c>
      <c r="K8" s="11">
        <v>58.396551724137929</v>
      </c>
      <c r="L8" s="11">
        <v>21</v>
      </c>
      <c r="M8" s="34">
        <v>0.62001771479185119</v>
      </c>
      <c r="N8" s="11">
        <v>3644</v>
      </c>
      <c r="O8" s="11">
        <v>62.827586206896555</v>
      </c>
      <c r="P8" s="11">
        <v>61</v>
      </c>
      <c r="Q8" s="35">
        <v>1.6739846322722283</v>
      </c>
      <c r="CX8" s="22"/>
      <c r="CY8" s="22"/>
      <c r="CZ8" s="22"/>
      <c r="DA8" s="22"/>
      <c r="DB8" s="22"/>
    </row>
    <row r="9" spans="2:184" ht="16" customHeight="1">
      <c r="B9" s="27" t="s">
        <v>13</v>
      </c>
      <c r="C9" s="31" t="s">
        <v>0</v>
      </c>
      <c r="D9" s="32">
        <v>8</v>
      </c>
      <c r="E9" s="33">
        <v>70</v>
      </c>
      <c r="F9" s="10">
        <v>9262</v>
      </c>
      <c r="G9" s="9">
        <v>132.31428571428572</v>
      </c>
      <c r="H9" s="10">
        <v>92</v>
      </c>
      <c r="I9" s="34">
        <v>0.99330598142949689</v>
      </c>
      <c r="J9" s="11">
        <v>4163</v>
      </c>
      <c r="K9" s="11">
        <v>59.471428571428568</v>
      </c>
      <c r="L9" s="11">
        <v>17</v>
      </c>
      <c r="M9" s="34">
        <v>0.40835935623348546</v>
      </c>
      <c r="N9" s="11">
        <v>5099</v>
      </c>
      <c r="O9" s="11">
        <v>72.842857142857142</v>
      </c>
      <c r="P9" s="11">
        <v>75</v>
      </c>
      <c r="Q9" s="35">
        <v>1.4708766424789175</v>
      </c>
      <c r="CX9" s="22"/>
      <c r="CY9" s="22"/>
      <c r="CZ9" s="22"/>
      <c r="DA9" s="22"/>
      <c r="DB9" s="22"/>
    </row>
    <row r="10" spans="2:184" ht="16" customHeight="1">
      <c r="B10" s="27" t="s">
        <v>15</v>
      </c>
      <c r="C10" s="31" t="s">
        <v>0</v>
      </c>
      <c r="D10" s="32">
        <v>8</v>
      </c>
      <c r="E10" s="33">
        <v>88</v>
      </c>
      <c r="F10" s="10">
        <v>11755</v>
      </c>
      <c r="G10" s="9">
        <v>133.57954545454547</v>
      </c>
      <c r="H10" s="10">
        <v>248</v>
      </c>
      <c r="I10" s="34">
        <v>2.1097405359421524</v>
      </c>
      <c r="J10" s="11">
        <v>5161</v>
      </c>
      <c r="K10" s="11">
        <v>58.647727272727273</v>
      </c>
      <c r="L10" s="11">
        <v>85</v>
      </c>
      <c r="M10" s="34">
        <v>1.6469676419298585</v>
      </c>
      <c r="N10" s="11">
        <v>6594</v>
      </c>
      <c r="O10" s="11">
        <v>74.931818181818187</v>
      </c>
      <c r="P10" s="11">
        <v>163</v>
      </c>
      <c r="Q10" s="35">
        <v>2.4719441916894147</v>
      </c>
      <c r="CX10" s="22"/>
      <c r="CY10" s="22"/>
      <c r="CZ10" s="22"/>
      <c r="DA10" s="22"/>
      <c r="DB10" s="22"/>
    </row>
    <row r="11" spans="2:184" ht="16" customHeight="1">
      <c r="B11" s="27" t="s">
        <v>16</v>
      </c>
      <c r="C11" s="31" t="s">
        <v>0</v>
      </c>
      <c r="D11" s="32">
        <v>8</v>
      </c>
      <c r="E11" s="33">
        <v>73</v>
      </c>
      <c r="F11" s="10">
        <v>9825</v>
      </c>
      <c r="G11" s="9">
        <v>134.58904109589042</v>
      </c>
      <c r="H11" s="10">
        <v>141</v>
      </c>
      <c r="I11" s="34">
        <v>1.4351145038167938</v>
      </c>
      <c r="J11" s="11">
        <v>4285</v>
      </c>
      <c r="K11" s="11">
        <v>58.698630136986303</v>
      </c>
      <c r="L11" s="11">
        <v>47</v>
      </c>
      <c r="M11" s="34">
        <v>1.0968494749124855</v>
      </c>
      <c r="N11" s="11">
        <v>5540</v>
      </c>
      <c r="O11" s="11">
        <v>75.890410958904113</v>
      </c>
      <c r="P11" s="11">
        <v>94</v>
      </c>
      <c r="Q11" s="35">
        <v>1.6967509025270759</v>
      </c>
      <c r="CX11" s="22"/>
      <c r="CY11" s="22"/>
      <c r="CZ11" s="22"/>
      <c r="DA11" s="22"/>
      <c r="DB11" s="22"/>
    </row>
    <row r="12" spans="2:184" ht="16" customHeight="1">
      <c r="B12" s="27" t="s">
        <v>17</v>
      </c>
      <c r="C12" s="31" t="s">
        <v>0</v>
      </c>
      <c r="D12" s="32">
        <v>8</v>
      </c>
      <c r="E12" s="33">
        <v>63</v>
      </c>
      <c r="F12" s="10">
        <v>5026</v>
      </c>
      <c r="G12" s="9">
        <v>79.777777777777771</v>
      </c>
      <c r="H12" s="10">
        <v>85</v>
      </c>
      <c r="I12" s="34">
        <v>1.6912057302029448</v>
      </c>
      <c r="J12" s="11">
        <v>2297</v>
      </c>
      <c r="K12" s="11">
        <v>36.460317460317462</v>
      </c>
      <c r="L12" s="11">
        <v>43</v>
      </c>
      <c r="M12" s="34">
        <v>1.8720069656073139</v>
      </c>
      <c r="N12" s="11">
        <v>2729</v>
      </c>
      <c r="O12" s="11">
        <v>43.317460317460316</v>
      </c>
      <c r="P12" s="11">
        <v>42</v>
      </c>
      <c r="Q12" s="35">
        <v>1.5390252839868084</v>
      </c>
      <c r="CX12" s="22"/>
      <c r="CY12" s="22"/>
      <c r="CZ12" s="22"/>
      <c r="DA12" s="22"/>
      <c r="DB12" s="22"/>
    </row>
    <row r="13" spans="2:184" ht="16" customHeight="1">
      <c r="B13" s="27" t="s">
        <v>19</v>
      </c>
      <c r="C13" s="31" t="s">
        <v>0</v>
      </c>
      <c r="D13" s="32">
        <v>8</v>
      </c>
      <c r="E13" s="33">
        <v>75</v>
      </c>
      <c r="F13" s="10">
        <v>7821</v>
      </c>
      <c r="G13" s="9">
        <v>104.28</v>
      </c>
      <c r="H13" s="10">
        <v>101</v>
      </c>
      <c r="I13" s="34">
        <v>1.2913949622810383</v>
      </c>
      <c r="J13" s="11">
        <v>3717</v>
      </c>
      <c r="K13" s="11">
        <v>49.56</v>
      </c>
      <c r="L13" s="11">
        <v>56</v>
      </c>
      <c r="M13" s="34">
        <v>1.5065913370998116</v>
      </c>
      <c r="N13" s="11">
        <v>4104</v>
      </c>
      <c r="O13" s="11">
        <v>54.72</v>
      </c>
      <c r="P13" s="11">
        <v>45</v>
      </c>
      <c r="Q13" s="35">
        <v>1.0964912280701753</v>
      </c>
      <c r="CX13" s="22"/>
      <c r="CY13" s="22"/>
      <c r="CZ13" s="22"/>
      <c r="DA13" s="22"/>
      <c r="DB13" s="22"/>
    </row>
    <row r="14" spans="2:184" ht="16" customHeight="1">
      <c r="B14" s="36" t="s">
        <v>24</v>
      </c>
      <c r="C14" s="37"/>
      <c r="D14" s="38"/>
      <c r="E14" s="12">
        <f>AVERAGE(E4:E13)</f>
        <v>70.5</v>
      </c>
      <c r="F14" s="13">
        <f t="shared" ref="F14:Q14" si="0">AVERAGE(F4:F13)</f>
        <v>8660.2000000000007</v>
      </c>
      <c r="G14" s="13">
        <f t="shared" si="0"/>
        <v>121.99647530718042</v>
      </c>
      <c r="H14" s="13">
        <f t="shared" si="0"/>
        <v>121.7</v>
      </c>
      <c r="I14" s="62">
        <f t="shared" si="0"/>
        <v>1.377096075158736</v>
      </c>
      <c r="J14" s="13">
        <f t="shared" si="0"/>
        <v>3927.7</v>
      </c>
      <c r="K14" s="13">
        <f t="shared" si="0"/>
        <v>55.441771953747548</v>
      </c>
      <c r="L14" s="13">
        <f t="shared" si="0"/>
        <v>45.5</v>
      </c>
      <c r="M14" s="62">
        <f t="shared" si="0"/>
        <v>1.1436258496817646</v>
      </c>
      <c r="N14" s="13">
        <f t="shared" si="0"/>
        <v>4732.5</v>
      </c>
      <c r="O14" s="13">
        <f t="shared" si="0"/>
        <v>66.55470335343287</v>
      </c>
      <c r="P14" s="13">
        <f t="shared" si="0"/>
        <v>76.2</v>
      </c>
      <c r="Q14" s="63">
        <f t="shared" si="0"/>
        <v>1.5646823142994672</v>
      </c>
      <c r="CX14" s="22"/>
      <c r="CY14" s="22"/>
      <c r="CZ14" s="22"/>
      <c r="DA14" s="22"/>
      <c r="DB14" s="22"/>
    </row>
    <row r="15" spans="2:184" ht="16" customHeight="1">
      <c r="B15" s="36" t="s">
        <v>25</v>
      </c>
      <c r="C15" s="37"/>
      <c r="D15" s="38"/>
      <c r="E15" s="12">
        <f>STDEVA(E4:E13)</f>
        <v>8.8850686235078928</v>
      </c>
      <c r="F15" s="13">
        <f t="shared" ref="F15:Q15" si="1">STDEVA(F4:F13)</f>
        <v>1977.5477406795187</v>
      </c>
      <c r="G15" s="13">
        <f t="shared" si="1"/>
        <v>18.735826431939746</v>
      </c>
      <c r="H15" s="13">
        <f t="shared" si="1"/>
        <v>53.254212144309413</v>
      </c>
      <c r="I15" s="62">
        <f t="shared" si="1"/>
        <v>0.35692837072682371</v>
      </c>
      <c r="J15" s="13">
        <f t="shared" si="1"/>
        <v>838.78047055101194</v>
      </c>
      <c r="K15" s="13">
        <f t="shared" si="1"/>
        <v>8.1887688962000826</v>
      </c>
      <c r="L15" s="13">
        <f t="shared" si="1"/>
        <v>24.377813227969767</v>
      </c>
      <c r="M15" s="62">
        <f t="shared" si="1"/>
        <v>0.54397545241349521</v>
      </c>
      <c r="N15" s="13">
        <f t="shared" si="1"/>
        <v>1161.7988207947192</v>
      </c>
      <c r="O15" s="13">
        <f t="shared" si="1"/>
        <v>11.077212328942501</v>
      </c>
      <c r="P15" s="13">
        <f t="shared" si="1"/>
        <v>36.254654873546926</v>
      </c>
      <c r="Q15" s="63">
        <f t="shared" si="1"/>
        <v>0.39661291318125991</v>
      </c>
      <c r="CX15" s="22"/>
      <c r="CY15" s="22"/>
      <c r="CZ15" s="22"/>
      <c r="DA15" s="22"/>
      <c r="DB15" s="22"/>
    </row>
    <row r="16" spans="2:184" s="41" customFormat="1" ht="16" customHeight="1" thickBot="1">
      <c r="B16" s="39" t="s">
        <v>26</v>
      </c>
      <c r="C16" s="40"/>
      <c r="D16" s="38"/>
      <c r="E16" s="14">
        <f>E15/(SQRT(10))</f>
        <v>2.8097054017182019</v>
      </c>
      <c r="F16" s="15">
        <f t="shared" ref="F16:Q16" si="2">F15/(SQRT(10))</f>
        <v>625.35550422672929</v>
      </c>
      <c r="G16" s="15">
        <f t="shared" si="2"/>
        <v>5.924788537051529</v>
      </c>
      <c r="H16" s="15">
        <f t="shared" si="2"/>
        <v>16.840460537381727</v>
      </c>
      <c r="I16" s="64">
        <f t="shared" si="2"/>
        <v>0.11287066130297319</v>
      </c>
      <c r="J16" s="15">
        <f t="shared" si="2"/>
        <v>265.24567438089861</v>
      </c>
      <c r="K16" s="15">
        <f t="shared" si="2"/>
        <v>2.5895160944735198</v>
      </c>
      <c r="L16" s="15">
        <f t="shared" si="2"/>
        <v>7.7089414174565993</v>
      </c>
      <c r="M16" s="64">
        <f t="shared" si="2"/>
        <v>0.1720201420847183</v>
      </c>
      <c r="N16" s="15">
        <f t="shared" si="2"/>
        <v>367.39304566091067</v>
      </c>
      <c r="O16" s="15">
        <f t="shared" si="2"/>
        <v>3.5029221084756612</v>
      </c>
      <c r="P16" s="15">
        <f t="shared" si="2"/>
        <v>11.46472851837321</v>
      </c>
      <c r="Q16" s="65">
        <f t="shared" si="2"/>
        <v>0.12542001550873991</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row>
    <row r="17" spans="2:184" ht="16" customHeight="1" thickTop="1">
      <c r="B17" s="27" t="s">
        <v>2</v>
      </c>
      <c r="C17" s="42" t="s">
        <v>1</v>
      </c>
      <c r="D17" s="43">
        <v>8</v>
      </c>
      <c r="E17" s="44">
        <v>52</v>
      </c>
      <c r="F17" s="17">
        <v>5605</v>
      </c>
      <c r="G17" s="16">
        <v>107.78846153846153</v>
      </c>
      <c r="H17" s="17">
        <v>103</v>
      </c>
      <c r="I17" s="66">
        <v>1.8376449598572702</v>
      </c>
      <c r="J17" s="18">
        <v>2445</v>
      </c>
      <c r="K17" s="18">
        <v>47.019230769230766</v>
      </c>
      <c r="L17" s="18">
        <v>16</v>
      </c>
      <c r="M17" s="66">
        <v>0.65439672801635995</v>
      </c>
      <c r="N17" s="18">
        <v>3160</v>
      </c>
      <c r="O17" s="18">
        <v>60.769230769230766</v>
      </c>
      <c r="P17" s="18">
        <v>87</v>
      </c>
      <c r="Q17" s="67">
        <v>2.7531645569620253</v>
      </c>
      <c r="CX17" s="22"/>
      <c r="CY17" s="22"/>
      <c r="CZ17" s="22"/>
      <c r="DA17" s="22"/>
      <c r="DB17" s="22"/>
    </row>
    <row r="18" spans="2:184" ht="16" customHeight="1">
      <c r="B18" s="27" t="s">
        <v>5</v>
      </c>
      <c r="C18" s="31" t="s">
        <v>1</v>
      </c>
      <c r="D18" s="32">
        <v>8</v>
      </c>
      <c r="E18" s="33">
        <v>63</v>
      </c>
      <c r="F18" s="10">
        <v>7784</v>
      </c>
      <c r="G18" s="9">
        <v>123.55555555555556</v>
      </c>
      <c r="H18" s="10">
        <v>132</v>
      </c>
      <c r="I18" s="34">
        <v>1.6957862281603291</v>
      </c>
      <c r="J18" s="11">
        <v>3711</v>
      </c>
      <c r="K18" s="11">
        <v>58.904761904761905</v>
      </c>
      <c r="L18" s="11">
        <v>11</v>
      </c>
      <c r="M18" s="34">
        <v>0.29641606036108864</v>
      </c>
      <c r="N18" s="11">
        <v>4073</v>
      </c>
      <c r="O18" s="11">
        <v>64.650793650793645</v>
      </c>
      <c r="P18" s="11">
        <v>121</v>
      </c>
      <c r="Q18" s="35">
        <v>2.970783206481709</v>
      </c>
      <c r="CX18" s="22"/>
      <c r="CY18" s="22"/>
      <c r="CZ18" s="22"/>
      <c r="DA18" s="22"/>
      <c r="DB18" s="22"/>
    </row>
    <row r="19" spans="2:184" ht="16" customHeight="1">
      <c r="B19" s="27" t="s">
        <v>6</v>
      </c>
      <c r="C19" s="31" t="s">
        <v>1</v>
      </c>
      <c r="D19" s="32">
        <v>8</v>
      </c>
      <c r="E19" s="33">
        <v>65</v>
      </c>
      <c r="F19" s="10">
        <v>8779</v>
      </c>
      <c r="G19" s="9">
        <v>135.06153846153848</v>
      </c>
      <c r="H19" s="10">
        <v>132</v>
      </c>
      <c r="I19" s="34">
        <v>1.5035881079849642</v>
      </c>
      <c r="J19" s="11">
        <v>3957</v>
      </c>
      <c r="K19" s="11">
        <v>60.876923076923077</v>
      </c>
      <c r="L19" s="11">
        <v>23</v>
      </c>
      <c r="M19" s="34">
        <v>0.58124842052059644</v>
      </c>
      <c r="N19" s="11">
        <v>4822</v>
      </c>
      <c r="O19" s="11">
        <v>74.184615384615384</v>
      </c>
      <c r="P19" s="11">
        <v>109</v>
      </c>
      <c r="Q19" s="35">
        <v>2.2604728328494401</v>
      </c>
      <c r="CX19" s="22"/>
      <c r="CY19" s="22"/>
      <c r="CZ19" s="22"/>
      <c r="DA19" s="22"/>
      <c r="DB19" s="22"/>
    </row>
    <row r="20" spans="2:184" ht="16" customHeight="1">
      <c r="B20" s="27" t="s">
        <v>9</v>
      </c>
      <c r="C20" s="31" t="s">
        <v>1</v>
      </c>
      <c r="D20" s="32">
        <v>8</v>
      </c>
      <c r="E20" s="33">
        <v>36</v>
      </c>
      <c r="F20" s="10">
        <v>3755</v>
      </c>
      <c r="G20" s="9">
        <v>104.30555555555556</v>
      </c>
      <c r="H20" s="10">
        <v>70</v>
      </c>
      <c r="I20" s="34">
        <v>1.8641810918774968</v>
      </c>
      <c r="J20" s="11">
        <v>1768</v>
      </c>
      <c r="K20" s="11">
        <v>49.111111111111114</v>
      </c>
      <c r="L20" s="11">
        <v>9</v>
      </c>
      <c r="M20" s="34">
        <v>0.50904977375565608</v>
      </c>
      <c r="N20" s="11">
        <v>1987</v>
      </c>
      <c r="O20" s="11">
        <v>55.194444444444443</v>
      </c>
      <c r="P20" s="11">
        <v>61</v>
      </c>
      <c r="Q20" s="35">
        <v>3.0699547055863108</v>
      </c>
      <c r="CX20" s="22"/>
      <c r="CY20" s="22"/>
      <c r="CZ20" s="22"/>
      <c r="DA20" s="22"/>
      <c r="DB20" s="22"/>
    </row>
    <row r="21" spans="2:184" ht="16" customHeight="1">
      <c r="B21" s="27" t="s">
        <v>10</v>
      </c>
      <c r="C21" s="31" t="s">
        <v>1</v>
      </c>
      <c r="D21" s="32">
        <v>8</v>
      </c>
      <c r="E21" s="33">
        <v>48</v>
      </c>
      <c r="F21" s="10">
        <v>3920</v>
      </c>
      <c r="G21" s="9">
        <v>81.666666666666671</v>
      </c>
      <c r="H21" s="10">
        <v>72</v>
      </c>
      <c r="I21" s="34">
        <v>1.8367346938775513</v>
      </c>
      <c r="J21" s="11">
        <v>1938</v>
      </c>
      <c r="K21" s="11">
        <v>40.375</v>
      </c>
      <c r="L21" s="11">
        <v>12</v>
      </c>
      <c r="M21" s="34">
        <v>0.61919504643962853</v>
      </c>
      <c r="N21" s="11">
        <v>1982</v>
      </c>
      <c r="O21" s="11">
        <v>41.291666666666664</v>
      </c>
      <c r="P21" s="11">
        <v>60</v>
      </c>
      <c r="Q21" s="35">
        <v>3.0272452068617559</v>
      </c>
      <c r="CX21" s="22"/>
      <c r="CY21" s="22"/>
      <c r="CZ21" s="22"/>
      <c r="DA21" s="22"/>
      <c r="DB21" s="22"/>
    </row>
    <row r="22" spans="2:184" ht="16" customHeight="1">
      <c r="B22" s="27" t="s">
        <v>12</v>
      </c>
      <c r="C22" s="31" t="s">
        <v>1</v>
      </c>
      <c r="D22" s="32">
        <v>8</v>
      </c>
      <c r="E22" s="33">
        <v>84</v>
      </c>
      <c r="F22" s="10">
        <v>11530</v>
      </c>
      <c r="G22" s="9">
        <v>137.26190476190476</v>
      </c>
      <c r="H22" s="10">
        <v>210</v>
      </c>
      <c r="I22" s="34">
        <v>1.8213356461405028</v>
      </c>
      <c r="J22" s="11">
        <v>5512</v>
      </c>
      <c r="K22" s="11">
        <v>65.61904761904762</v>
      </c>
      <c r="L22" s="11">
        <v>52</v>
      </c>
      <c r="M22" s="34">
        <v>0.94339622641509435</v>
      </c>
      <c r="N22" s="11">
        <v>6018</v>
      </c>
      <c r="O22" s="11">
        <v>71.642857142857139</v>
      </c>
      <c r="P22" s="11">
        <v>158</v>
      </c>
      <c r="Q22" s="35">
        <v>2.6254569624459956</v>
      </c>
      <c r="CX22" s="22"/>
      <c r="CY22" s="22"/>
      <c r="CZ22" s="22"/>
      <c r="DA22" s="22"/>
      <c r="DB22" s="22"/>
    </row>
    <row r="23" spans="2:184" ht="16" customHeight="1">
      <c r="B23" s="27" t="s">
        <v>14</v>
      </c>
      <c r="C23" s="31" t="s">
        <v>1</v>
      </c>
      <c r="D23" s="32">
        <v>8</v>
      </c>
      <c r="E23" s="33">
        <v>66</v>
      </c>
      <c r="F23" s="10">
        <v>6899</v>
      </c>
      <c r="G23" s="9">
        <v>104.53030303030303</v>
      </c>
      <c r="H23" s="10">
        <v>154</v>
      </c>
      <c r="I23" s="34">
        <v>2.2322075663139587</v>
      </c>
      <c r="J23" s="11">
        <v>3141</v>
      </c>
      <c r="K23" s="11">
        <v>47.590909090909093</v>
      </c>
      <c r="L23" s="11">
        <v>21</v>
      </c>
      <c r="M23" s="34">
        <v>0.66857688634192936</v>
      </c>
      <c r="N23" s="11">
        <v>3758</v>
      </c>
      <c r="O23" s="11">
        <v>56.939393939393938</v>
      </c>
      <c r="P23" s="11">
        <v>133</v>
      </c>
      <c r="Q23" s="35">
        <v>3.5391165513571048</v>
      </c>
      <c r="CX23" s="22"/>
      <c r="CY23" s="22"/>
      <c r="CZ23" s="22"/>
      <c r="DA23" s="22"/>
      <c r="DB23" s="22"/>
    </row>
    <row r="24" spans="2:184" ht="16" customHeight="1">
      <c r="B24" s="27" t="s">
        <v>18</v>
      </c>
      <c r="C24" s="31" t="s">
        <v>1</v>
      </c>
      <c r="D24" s="32">
        <v>8</v>
      </c>
      <c r="E24" s="33">
        <v>43</v>
      </c>
      <c r="F24" s="10">
        <v>3581</v>
      </c>
      <c r="G24" s="9">
        <v>83.279069767441854</v>
      </c>
      <c r="H24" s="10">
        <v>83</v>
      </c>
      <c r="I24" s="34">
        <v>2.3177883272828819</v>
      </c>
      <c r="J24" s="11">
        <v>1744</v>
      </c>
      <c r="K24" s="11">
        <v>40.558139534883722</v>
      </c>
      <c r="L24" s="11">
        <v>15</v>
      </c>
      <c r="M24" s="34">
        <v>0.86009174311926606</v>
      </c>
      <c r="N24" s="11">
        <v>1837</v>
      </c>
      <c r="O24" s="11">
        <v>42.720930232558139</v>
      </c>
      <c r="P24" s="11">
        <v>68</v>
      </c>
      <c r="Q24" s="35">
        <v>3.7016875340228634</v>
      </c>
      <c r="CX24" s="22"/>
      <c r="CY24" s="22"/>
      <c r="CZ24" s="22"/>
      <c r="DA24" s="22"/>
      <c r="DB24" s="22"/>
    </row>
    <row r="25" spans="2:184" ht="16" customHeight="1">
      <c r="B25" s="27" t="s">
        <v>20</v>
      </c>
      <c r="C25" s="31" t="s">
        <v>1</v>
      </c>
      <c r="D25" s="32">
        <v>8</v>
      </c>
      <c r="E25" s="33">
        <v>47</v>
      </c>
      <c r="F25" s="10">
        <v>6501</v>
      </c>
      <c r="G25" s="9">
        <v>138.31914893617022</v>
      </c>
      <c r="H25" s="10">
        <v>105</v>
      </c>
      <c r="I25" s="34">
        <v>1.6151361329026301</v>
      </c>
      <c r="J25" s="11">
        <v>3184</v>
      </c>
      <c r="K25" s="11">
        <v>67.744680851063833</v>
      </c>
      <c r="L25" s="11">
        <v>25</v>
      </c>
      <c r="M25" s="34">
        <v>0.78517587939698485</v>
      </c>
      <c r="N25" s="11">
        <v>3317</v>
      </c>
      <c r="O25" s="11">
        <v>70.574468085106389</v>
      </c>
      <c r="P25" s="11">
        <v>80</v>
      </c>
      <c r="Q25" s="35">
        <v>2.4118179077479649</v>
      </c>
      <c r="CX25" s="22"/>
      <c r="CY25" s="22"/>
      <c r="CZ25" s="22"/>
      <c r="DA25" s="22"/>
      <c r="DB25" s="22"/>
    </row>
    <row r="26" spans="2:184" ht="16" customHeight="1">
      <c r="B26" s="27" t="s">
        <v>21</v>
      </c>
      <c r="C26" s="31" t="s">
        <v>1</v>
      </c>
      <c r="D26" s="32">
        <v>8</v>
      </c>
      <c r="E26" s="33">
        <v>72</v>
      </c>
      <c r="F26" s="10">
        <v>9930</v>
      </c>
      <c r="G26" s="9">
        <v>137.91666666666666</v>
      </c>
      <c r="H26" s="10">
        <v>242</v>
      </c>
      <c r="I26" s="34">
        <v>2.4370594159113796</v>
      </c>
      <c r="J26" s="11">
        <v>4323</v>
      </c>
      <c r="K26" s="11">
        <v>60.041666666666664</v>
      </c>
      <c r="L26" s="11">
        <v>32</v>
      </c>
      <c r="M26" s="34">
        <v>0.74022669442516775</v>
      </c>
      <c r="N26" s="11">
        <v>5607</v>
      </c>
      <c r="O26" s="11">
        <v>77.875</v>
      </c>
      <c r="P26" s="11">
        <v>210</v>
      </c>
      <c r="Q26" s="35">
        <v>3.7453183520599254</v>
      </c>
      <c r="CX26" s="22"/>
      <c r="CY26" s="22"/>
      <c r="CZ26" s="22"/>
      <c r="DA26" s="22"/>
      <c r="DB26" s="22"/>
    </row>
    <row r="27" spans="2:184" ht="16" customHeight="1">
      <c r="B27" s="36" t="s">
        <v>24</v>
      </c>
      <c r="C27" s="37"/>
      <c r="D27" s="38"/>
      <c r="E27" s="12">
        <f>AVERAGE(E17:E26)</f>
        <v>57.6</v>
      </c>
      <c r="F27" s="13">
        <f t="shared" ref="F27:Q27" si="3">AVERAGE(F17:F26)</f>
        <v>6828.4</v>
      </c>
      <c r="G27" s="13">
        <f t="shared" si="3"/>
        <v>115.36848709402643</v>
      </c>
      <c r="H27" s="13">
        <f t="shared" si="3"/>
        <v>130.30000000000001</v>
      </c>
      <c r="I27" s="62">
        <f t="shared" si="3"/>
        <v>1.9161462170308965</v>
      </c>
      <c r="J27" s="13">
        <f t="shared" si="3"/>
        <v>3172.3</v>
      </c>
      <c r="K27" s="13">
        <f t="shared" si="3"/>
        <v>53.78414706245978</v>
      </c>
      <c r="L27" s="13">
        <f t="shared" si="3"/>
        <v>21.6</v>
      </c>
      <c r="M27" s="62">
        <f t="shared" si="3"/>
        <v>0.66577734587917736</v>
      </c>
      <c r="N27" s="13">
        <f t="shared" si="3"/>
        <v>3656.1</v>
      </c>
      <c r="O27" s="13">
        <f t="shared" si="3"/>
        <v>61.584340031566647</v>
      </c>
      <c r="P27" s="13">
        <f t="shared" si="3"/>
        <v>108.7</v>
      </c>
      <c r="Q27" s="63">
        <f t="shared" si="3"/>
        <v>3.0105017816375095</v>
      </c>
      <c r="CX27" s="22"/>
      <c r="CY27" s="22"/>
      <c r="CZ27" s="22"/>
      <c r="DA27" s="22"/>
      <c r="DB27" s="22"/>
    </row>
    <row r="28" spans="2:184" ht="16" customHeight="1">
      <c r="B28" s="36" t="s">
        <v>25</v>
      </c>
      <c r="C28" s="37"/>
      <c r="D28" s="38"/>
      <c r="E28" s="12">
        <f>STDEVA(E17:E26)</f>
        <v>14.811407015465409</v>
      </c>
      <c r="F28" s="13">
        <f t="shared" ref="F28:Q28" si="4">STDEVA(F17:F26)</f>
        <v>2718.292854797739</v>
      </c>
      <c r="G28" s="13">
        <f t="shared" si="4"/>
        <v>22.191525560434219</v>
      </c>
      <c r="H28" s="13">
        <f t="shared" si="4"/>
        <v>57.787061220003608</v>
      </c>
      <c r="I28" s="62">
        <f t="shared" si="4"/>
        <v>0.31021311075521391</v>
      </c>
      <c r="J28" s="13">
        <f t="shared" si="4"/>
        <v>1236.9288176770722</v>
      </c>
      <c r="K28" s="13">
        <f t="shared" si="4"/>
        <v>10.062781526717824</v>
      </c>
      <c r="L28" s="13">
        <f t="shared" si="4"/>
        <v>12.842637320010764</v>
      </c>
      <c r="M28" s="62">
        <f t="shared" si="4"/>
        <v>0.18411130086213282</v>
      </c>
      <c r="N28" s="13">
        <f t="shared" si="4"/>
        <v>1497.6585020921457</v>
      </c>
      <c r="O28" s="13">
        <f t="shared" si="4"/>
        <v>12.676502156609429</v>
      </c>
      <c r="P28" s="13">
        <f t="shared" si="4"/>
        <v>48.341493564018073</v>
      </c>
      <c r="Q28" s="63">
        <f t="shared" si="4"/>
        <v>0.52046635431501898</v>
      </c>
      <c r="CX28" s="22"/>
      <c r="CY28" s="22"/>
      <c r="CZ28" s="22"/>
      <c r="DA28" s="22"/>
      <c r="DB28" s="22"/>
    </row>
    <row r="29" spans="2:184" s="41" customFormat="1" ht="16" customHeight="1" thickBot="1">
      <c r="B29" s="45" t="s">
        <v>26</v>
      </c>
      <c r="C29" s="46"/>
      <c r="D29" s="47"/>
      <c r="E29" s="19">
        <f>E28/(SQRT(10))</f>
        <v>4.683778152066747</v>
      </c>
      <c r="F29" s="20">
        <f t="shared" ref="F29:Q29" si="5">F28/(SQRT(10))</f>
        <v>859.59967685222171</v>
      </c>
      <c r="G29" s="20">
        <f t="shared" si="5"/>
        <v>7.0175765524816702</v>
      </c>
      <c r="H29" s="20">
        <f t="shared" si="5"/>
        <v>18.273873274279989</v>
      </c>
      <c r="I29" s="52">
        <f t="shared" si="5"/>
        <v>9.8097999003255207E-2</v>
      </c>
      <c r="J29" s="20">
        <f t="shared" si="5"/>
        <v>391.15123673586913</v>
      </c>
      <c r="K29" s="20">
        <f t="shared" si="5"/>
        <v>3.1821309221094829</v>
      </c>
      <c r="L29" s="20">
        <f t="shared" si="5"/>
        <v>4.061198509471474</v>
      </c>
      <c r="M29" s="52">
        <f t="shared" si="5"/>
        <v>5.8221105370086186E-2</v>
      </c>
      <c r="N29" s="20">
        <f t="shared" si="5"/>
        <v>473.60120237272298</v>
      </c>
      <c r="O29" s="20">
        <f t="shared" si="5"/>
        <v>4.0086619578922278</v>
      </c>
      <c r="P29" s="20">
        <f t="shared" si="5"/>
        <v>15.286922515666783</v>
      </c>
      <c r="Q29" s="53">
        <f t="shared" si="5"/>
        <v>0.16458591251196647</v>
      </c>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row>
    <row r="30" spans="2:184" ht="16" thickBot="1">
      <c r="B30" s="48" t="s">
        <v>28</v>
      </c>
      <c r="C30" s="49"/>
      <c r="D30" s="50"/>
      <c r="E30" s="51">
        <f>TTEST(E4:E13,E17:E26,2,3)</f>
        <v>3.2401006889016065E-2</v>
      </c>
      <c r="F30" s="52">
        <f t="shared" ref="F30:Q30" si="6">TTEST(F4:F13,F17:F26,2,3)</f>
        <v>0.10359878489860079</v>
      </c>
      <c r="G30" s="52">
        <f t="shared" si="6"/>
        <v>0.48002355969175103</v>
      </c>
      <c r="H30" s="52">
        <f t="shared" si="6"/>
        <v>0.73332659001179779</v>
      </c>
      <c r="I30" s="68">
        <f t="shared" si="6"/>
        <v>2.0783434974829822E-3</v>
      </c>
      <c r="J30" s="52">
        <f t="shared" si="6"/>
        <v>0.12972202141652114</v>
      </c>
      <c r="K30" s="52">
        <f t="shared" si="6"/>
        <v>0.69113823497924909</v>
      </c>
      <c r="L30" s="52">
        <f t="shared" si="6"/>
        <v>1.6171123880723139E-2</v>
      </c>
      <c r="M30" s="52">
        <f t="shared" si="6"/>
        <v>2.3300103869386725E-2</v>
      </c>
      <c r="N30" s="52">
        <f t="shared" si="6"/>
        <v>9.0370422417676746E-2</v>
      </c>
      <c r="O30" s="52">
        <f t="shared" si="6"/>
        <v>0.36305391265659148</v>
      </c>
      <c r="P30" s="52">
        <f t="shared" si="6"/>
        <v>0.10752977640768076</v>
      </c>
      <c r="Q30" s="69">
        <f t="shared" si="6"/>
        <v>2.3255022513661002E-6</v>
      </c>
    </row>
    <row r="31" spans="2:184">
      <c r="E31" s="54"/>
      <c r="F31" s="54"/>
      <c r="G31" s="54"/>
      <c r="H31" s="54"/>
      <c r="I31" s="54"/>
      <c r="J31" s="55"/>
      <c r="K31" s="55"/>
      <c r="L31" s="55"/>
      <c r="M31" s="55"/>
      <c r="N31" s="55"/>
      <c r="O31" s="55"/>
      <c r="P31" s="55"/>
      <c r="Q31" s="55"/>
    </row>
    <row r="32" spans="2:184">
      <c r="E32" s="56"/>
      <c r="F32" s="56"/>
      <c r="G32" s="56"/>
      <c r="H32" s="56"/>
      <c r="I32" s="56"/>
      <c r="J32" s="57"/>
      <c r="K32" s="57"/>
      <c r="L32" s="57"/>
      <c r="M32" s="57"/>
      <c r="N32" s="57"/>
      <c r="O32" s="57"/>
      <c r="P32" s="57"/>
      <c r="Q32" s="57"/>
    </row>
    <row r="33" spans="2:17">
      <c r="B33" s="58"/>
      <c r="C33" s="58"/>
      <c r="D33" s="58"/>
      <c r="E33" s="58"/>
      <c r="F33" s="58"/>
      <c r="G33" s="58"/>
      <c r="H33" s="58"/>
      <c r="I33" s="58"/>
      <c r="J33" s="58"/>
      <c r="K33" s="58"/>
      <c r="L33" s="58"/>
      <c r="M33" s="58"/>
      <c r="N33" s="58"/>
      <c r="O33" s="58"/>
      <c r="P33" s="58"/>
      <c r="Q33" s="58"/>
    </row>
    <row r="36" spans="2:17">
      <c r="B36" s="59"/>
    </row>
  </sheetData>
  <mergeCells count="1">
    <mergeCell ref="B2:Q2"/>
  </mergeCells>
  <pageMargins left="0.75" right="0.75" top="0.5" bottom="0" header="0" footer="0"/>
  <pageSetup scale="38" orientation="portrait" horizontalDpi="4294967292" verticalDpi="4294967292"/>
  <headerFooter>
    <oddFooter>&amp;R&amp;"Arial,Regular"&amp;16&amp;K808080&amp;[37</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 Table 6</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Cox</dc:creator>
  <cp:lastModifiedBy>Aaron Cox</cp:lastModifiedBy>
  <dcterms:created xsi:type="dcterms:W3CDTF">2015-11-02T23:26:35Z</dcterms:created>
  <dcterms:modified xsi:type="dcterms:W3CDTF">2016-04-24T14:39:58Z</dcterms:modified>
</cp:coreProperties>
</file>