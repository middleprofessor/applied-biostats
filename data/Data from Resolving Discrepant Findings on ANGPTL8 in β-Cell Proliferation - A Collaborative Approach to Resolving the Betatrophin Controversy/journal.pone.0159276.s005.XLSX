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0" yWindow="0" windowWidth="25600" windowHeight="16060" tabRatio="659"/>
  </bookViews>
  <sheets>
    <sheet name="Suppl Table 5" sheetId="4" r:id="rId1"/>
  </sheets>
  <definedNames>
    <definedName name="_xlnm.Print_Area" localSheetId="0">'Suppl Table 5'!$B$3:$N$25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0" i="4" l="1"/>
  <c r="M30" i="4"/>
  <c r="L30" i="4"/>
  <c r="K30" i="4"/>
  <c r="J30" i="4"/>
  <c r="I30" i="4"/>
  <c r="H30" i="4"/>
  <c r="G30" i="4"/>
  <c r="F30" i="4"/>
  <c r="E30" i="4"/>
  <c r="N28" i="4"/>
  <c r="N29" i="4"/>
  <c r="M28" i="4"/>
  <c r="M29" i="4"/>
  <c r="L28" i="4"/>
  <c r="L29" i="4"/>
  <c r="K28" i="4"/>
  <c r="K29" i="4"/>
  <c r="J28" i="4"/>
  <c r="J29" i="4"/>
  <c r="I28" i="4"/>
  <c r="I29" i="4"/>
  <c r="H28" i="4"/>
  <c r="H29" i="4"/>
  <c r="G28" i="4"/>
  <c r="G29" i="4"/>
  <c r="F28" i="4"/>
  <c r="F29" i="4"/>
  <c r="E28" i="4"/>
  <c r="E29" i="4"/>
  <c r="N27" i="4"/>
  <c r="M27" i="4"/>
  <c r="L27" i="4"/>
  <c r="K27" i="4"/>
  <c r="J27" i="4"/>
  <c r="I27" i="4"/>
  <c r="H27" i="4"/>
  <c r="G27" i="4"/>
  <c r="F27" i="4"/>
  <c r="E27" i="4"/>
  <c r="N15" i="4"/>
  <c r="N16" i="4"/>
  <c r="M15" i="4"/>
  <c r="M16" i="4"/>
  <c r="L15" i="4"/>
  <c r="L16" i="4"/>
  <c r="K15" i="4"/>
  <c r="K16" i="4"/>
  <c r="J15" i="4"/>
  <c r="J16" i="4"/>
  <c r="I15" i="4"/>
  <c r="I16" i="4"/>
  <c r="H15" i="4"/>
  <c r="H16" i="4"/>
  <c r="G15" i="4"/>
  <c r="G16" i="4"/>
  <c r="F15" i="4"/>
  <c r="F16" i="4"/>
  <c r="E15" i="4"/>
  <c r="E16" i="4"/>
  <c r="N14" i="4"/>
  <c r="M14" i="4"/>
  <c r="L14" i="4"/>
  <c r="K14" i="4"/>
  <c r="J14" i="4"/>
  <c r="I14" i="4"/>
  <c r="H14" i="4"/>
  <c r="G14" i="4"/>
  <c r="F14" i="4"/>
  <c r="E14" i="4"/>
</calcChain>
</file>

<file path=xl/sharedStrings.xml><?xml version="1.0" encoding="utf-8"?>
<sst xmlns="http://schemas.openxmlformats.org/spreadsheetml/2006/main" count="121" uniqueCount="41">
  <si>
    <t>MBP</t>
  </si>
  <si>
    <t>MBP+hBT</t>
  </si>
  <si>
    <t>NA</t>
  </si>
  <si>
    <t>CM7720</t>
  </si>
  <si>
    <t>CM7721</t>
  </si>
  <si>
    <t>CM7722</t>
  </si>
  <si>
    <t>CM7723</t>
  </si>
  <si>
    <t>CM7724</t>
  </si>
  <si>
    <t>CM7725</t>
  </si>
  <si>
    <t>CM7726</t>
  </si>
  <si>
    <t>CM7727</t>
  </si>
  <si>
    <t>CM7728</t>
  </si>
  <si>
    <t>CM7729</t>
  </si>
  <si>
    <t>CM7730</t>
  </si>
  <si>
    <t>CM7731</t>
  </si>
  <si>
    <t>CM7732</t>
  </si>
  <si>
    <t>CM7733</t>
  </si>
  <si>
    <t>CM7734</t>
  </si>
  <si>
    <t>CM7735</t>
  </si>
  <si>
    <t>CM7736</t>
  </si>
  <si>
    <t>CM7737</t>
  </si>
  <si>
    <t>CM7738</t>
  </si>
  <si>
    <t>CM7739</t>
  </si>
  <si>
    <t>Animal ID#</t>
  </si>
  <si>
    <t>Treatment</t>
  </si>
  <si>
    <t>Average</t>
  </si>
  <si>
    <t>Standard Deviation</t>
  </si>
  <si>
    <t>Standard Error</t>
  </si>
  <si>
    <t>Slide #</t>
  </si>
  <si>
    <t>Total DAPI+ Cells</t>
  </si>
  <si>
    <t>Ki67+ DAPI+ Cells</t>
  </si>
  <si>
    <t>EdU+ DAPI+ Cells</t>
  </si>
  <si>
    <t>EdU+ Ki67+ DAPI+ Cells</t>
  </si>
  <si>
    <t>EdU+ Ki67+ DAPI+ Cells 
(% of Total Ki67+ DAPI+ Cells)</t>
  </si>
  <si>
    <t>Total Insulin+ DAPI+ Cells</t>
  </si>
  <si>
    <t>Ki67+ Insulin+ DAPI+ Cells</t>
  </si>
  <si>
    <t>EdU+ Insulin+ DAPI+ Cells</t>
  </si>
  <si>
    <t>Ki67+ EdU+ Insulin+ DAPI+ Cells</t>
  </si>
  <si>
    <t>Ki67+ EdU+ Insulin+ DAPI+ Cells 
(% Total Ki67+ Insulin+ Cells)</t>
  </si>
  <si>
    <r>
      <t>p</t>
    </r>
    <r>
      <rPr>
        <b/>
        <sz val="12"/>
        <rFont val="Arial"/>
      </rPr>
      <t xml:space="preserve"> value (t-test)</t>
    </r>
  </si>
  <si>
    <r>
      <t xml:space="preserve">Supplemental Table 5. Individual data for Ki67, EdU co-expressing total cell and β-cell analysis. </t>
    </r>
    <r>
      <rPr>
        <sz val="12"/>
        <color theme="1"/>
        <rFont val="Arial"/>
      </rPr>
      <t>Measurements were recorded from 10-week-old CD1 male mice injected with maltose binding protein (MBP; control) or MBP-human betatrophin (hBT) fusion protein for two days and sacrificed on day three. Quantification of Ki67+ EdU+ cells as a percenatge of total cells or β-cells.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</si>
</sst>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7" formatCode="0.0000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b/>
      <sz val="12"/>
      <name val="Arial"/>
    </font>
    <font>
      <b/>
      <i/>
      <sz val="12"/>
      <name val="Arial"/>
    </font>
    <font>
      <b/>
      <sz val="11.5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93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4">
    <xf numFmtId="0" fontId="0" fillId="0" borderId="0" xfId="0"/>
    <xf numFmtId="0" fontId="9" fillId="0" borderId="0" xfId="2" applyFont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1" fontId="9" fillId="0" borderId="9" xfId="2" applyNumberFormat="1" applyFont="1" applyBorder="1" applyAlignment="1">
      <alignment horizontal="center"/>
    </xf>
    <xf numFmtId="1" fontId="9" fillId="0" borderId="10" xfId="2" applyNumberFormat="1" applyFont="1" applyBorder="1" applyAlignment="1">
      <alignment horizontal="center"/>
    </xf>
    <xf numFmtId="164" fontId="9" fillId="0" borderId="11" xfId="2" applyNumberFormat="1" applyFont="1" applyBorder="1" applyAlignment="1">
      <alignment horizontal="center"/>
    </xf>
    <xf numFmtId="164" fontId="9" fillId="0" borderId="13" xfId="2" applyNumberFormat="1" applyFont="1" applyBorder="1" applyAlignment="1">
      <alignment horizontal="center"/>
    </xf>
    <xf numFmtId="1" fontId="9" fillId="0" borderId="13" xfId="2" applyNumberFormat="1" applyFont="1" applyBorder="1" applyAlignment="1">
      <alignment horizontal="center"/>
    </xf>
    <xf numFmtId="1" fontId="9" fillId="0" borderId="6" xfId="2" applyNumberFormat="1" applyFont="1" applyBorder="1" applyAlignment="1">
      <alignment horizontal="center"/>
    </xf>
    <xf numFmtId="164" fontId="9" fillId="0" borderId="7" xfId="2" applyNumberFormat="1" applyFont="1" applyBorder="1" applyAlignment="1">
      <alignment horizontal="center"/>
    </xf>
    <xf numFmtId="164" fontId="9" fillId="2" borderId="12" xfId="2" applyNumberFormat="1" applyFont="1" applyFill="1" applyBorder="1" applyAlignment="1">
      <alignment horizontal="center"/>
    </xf>
    <xf numFmtId="164" fontId="9" fillId="2" borderId="13" xfId="2" applyNumberFormat="1" applyFont="1" applyFill="1" applyBorder="1" applyAlignment="1">
      <alignment horizontal="center"/>
    </xf>
    <xf numFmtId="164" fontId="9" fillId="2" borderId="7" xfId="2" applyNumberFormat="1" applyFont="1" applyFill="1" applyBorder="1" applyAlignment="1">
      <alignment horizontal="center"/>
    </xf>
    <xf numFmtId="164" fontId="9" fillId="2" borderId="18" xfId="2" applyNumberFormat="1" applyFont="1" applyFill="1" applyBorder="1" applyAlignment="1">
      <alignment horizontal="center"/>
    </xf>
    <xf numFmtId="164" fontId="9" fillId="2" borderId="19" xfId="2" applyNumberFormat="1" applyFont="1" applyFill="1" applyBorder="1" applyAlignment="1">
      <alignment horizontal="center"/>
    </xf>
    <xf numFmtId="164" fontId="9" fillId="2" borderId="20" xfId="2" applyNumberFormat="1" applyFont="1" applyFill="1" applyBorder="1" applyAlignment="1">
      <alignment horizontal="center"/>
    </xf>
    <xf numFmtId="1" fontId="9" fillId="0" borderId="22" xfId="2" applyNumberFormat="1" applyFont="1" applyBorder="1" applyAlignment="1">
      <alignment horizontal="center"/>
    </xf>
    <xf numFmtId="1" fontId="9" fillId="0" borderId="23" xfId="2" applyNumberFormat="1" applyFont="1" applyBorder="1" applyAlignment="1">
      <alignment horizontal="center"/>
    </xf>
    <xf numFmtId="164" fontId="9" fillId="0" borderId="24" xfId="2" applyNumberFormat="1" applyFont="1" applyBorder="1" applyAlignment="1">
      <alignment horizontal="center"/>
    </xf>
    <xf numFmtId="164" fontId="9" fillId="2" borderId="27" xfId="2" applyNumberFormat="1" applyFont="1" applyFill="1" applyBorder="1" applyAlignment="1">
      <alignment horizontal="center"/>
    </xf>
    <xf numFmtId="164" fontId="9" fillId="2" borderId="28" xfId="2" applyNumberFormat="1" applyFont="1" applyFill="1" applyBorder="1" applyAlignment="1">
      <alignment horizontal="center"/>
    </xf>
    <xf numFmtId="164" fontId="9" fillId="2" borderId="29" xfId="2" applyNumberFormat="1" applyFont="1" applyFill="1" applyBorder="1" applyAlignment="1">
      <alignment horizontal="center"/>
    </xf>
    <xf numFmtId="0" fontId="9" fillId="0" borderId="0" xfId="2" applyFont="1" applyBorder="1" applyAlignment="1">
      <alignment horizontal="left" vertical="center"/>
    </xf>
    <xf numFmtId="0" fontId="9" fillId="0" borderId="0" xfId="2" applyFont="1" applyBorder="1" applyAlignment="1">
      <alignment horizontal="center" vertical="center"/>
    </xf>
    <xf numFmtId="0" fontId="10" fillId="0" borderId="30" xfId="2" applyFont="1" applyFill="1" applyBorder="1" applyAlignment="1">
      <alignment horizontal="center" vertical="center" wrapText="1"/>
    </xf>
    <xf numFmtId="0" fontId="10" fillId="0" borderId="4" xfId="2" applyFont="1" applyFill="1" applyBorder="1" applyAlignment="1">
      <alignment horizontal="center" vertical="center" wrapText="1"/>
    </xf>
    <xf numFmtId="0" fontId="10" fillId="0" borderId="5" xfId="2" applyFont="1" applyFill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/>
    </xf>
    <xf numFmtId="0" fontId="9" fillId="2" borderId="9" xfId="2" applyFont="1" applyFill="1" applyBorder="1" applyAlignment="1">
      <alignment horizontal="center"/>
    </xf>
    <xf numFmtId="0" fontId="9" fillId="0" borderId="11" xfId="2" applyFont="1" applyFill="1" applyBorder="1" applyAlignment="1">
      <alignment horizontal="center"/>
    </xf>
    <xf numFmtId="1" fontId="9" fillId="0" borderId="8" xfId="2" applyNumberFormat="1" applyFont="1" applyBorder="1" applyAlignment="1">
      <alignment horizontal="center"/>
    </xf>
    <xf numFmtId="0" fontId="9" fillId="0" borderId="9" xfId="2" applyNumberFormat="1" applyFont="1" applyBorder="1" applyAlignment="1">
      <alignment horizontal="center"/>
    </xf>
    <xf numFmtId="164" fontId="9" fillId="0" borderId="10" xfId="2" applyNumberFormat="1" applyFont="1" applyBorder="1" applyAlignment="1">
      <alignment horizontal="center"/>
    </xf>
    <xf numFmtId="0" fontId="9" fillId="0" borderId="10" xfId="2" applyNumberFormat="1" applyFont="1" applyBorder="1" applyAlignment="1">
      <alignment horizontal="center"/>
    </xf>
    <xf numFmtId="0" fontId="9" fillId="2" borderId="13" xfId="2" applyFont="1" applyFill="1" applyBorder="1" applyAlignment="1">
      <alignment horizontal="center"/>
    </xf>
    <xf numFmtId="0" fontId="9" fillId="0" borderId="7" xfId="2" applyFont="1" applyFill="1" applyBorder="1" applyAlignment="1">
      <alignment horizontal="center"/>
    </xf>
    <xf numFmtId="1" fontId="9" fillId="0" borderId="12" xfId="2" applyNumberFormat="1" applyFont="1" applyBorder="1" applyAlignment="1">
      <alignment horizontal="center"/>
    </xf>
    <xf numFmtId="0" fontId="9" fillId="0" borderId="13" xfId="2" applyNumberFormat="1" applyFont="1" applyBorder="1" applyAlignment="1">
      <alignment horizontal="center"/>
    </xf>
    <xf numFmtId="164" fontId="9" fillId="0" borderId="6" xfId="2" applyNumberFormat="1" applyFont="1" applyBorder="1" applyAlignment="1">
      <alignment horizontal="center"/>
    </xf>
    <xf numFmtId="0" fontId="9" fillId="0" borderId="6" xfId="2" applyNumberFormat="1" applyFont="1" applyBorder="1" applyAlignment="1">
      <alignment horizontal="center"/>
    </xf>
    <xf numFmtId="2" fontId="9" fillId="0" borderId="6" xfId="2" applyNumberFormat="1" applyFont="1" applyBorder="1" applyAlignment="1">
      <alignment horizontal="center"/>
    </xf>
    <xf numFmtId="2" fontId="9" fillId="0" borderId="7" xfId="2" applyNumberFormat="1" applyFont="1" applyBorder="1" applyAlignment="1">
      <alignment horizontal="center"/>
    </xf>
    <xf numFmtId="0" fontId="10" fillId="2" borderId="14" xfId="2" applyFont="1" applyFill="1" applyBorder="1" applyAlignment="1"/>
    <xf numFmtId="0" fontId="10" fillId="2" borderId="15" xfId="2" applyFont="1" applyFill="1" applyBorder="1" applyAlignment="1"/>
    <xf numFmtId="0" fontId="10" fillId="3" borderId="7" xfId="2" applyFont="1" applyFill="1" applyBorder="1" applyAlignment="1"/>
    <xf numFmtId="2" fontId="10" fillId="2" borderId="16" xfId="2" applyNumberFormat="1" applyFont="1" applyFill="1" applyBorder="1" applyAlignment="1"/>
    <xf numFmtId="2" fontId="10" fillId="2" borderId="17" xfId="2" applyNumberFormat="1" applyFont="1" applyFill="1" applyBorder="1" applyAlignment="1"/>
    <xf numFmtId="2" fontId="9" fillId="0" borderId="0" xfId="2" applyNumberFormat="1" applyFont="1" applyBorder="1" applyAlignment="1">
      <alignment horizontal="center" vertical="center"/>
    </xf>
    <xf numFmtId="0" fontId="9" fillId="2" borderId="22" xfId="2" applyFont="1" applyFill="1" applyBorder="1" applyAlignment="1">
      <alignment horizontal="center"/>
    </xf>
    <xf numFmtId="0" fontId="9" fillId="0" borderId="24" xfId="2" applyFont="1" applyFill="1" applyBorder="1" applyAlignment="1">
      <alignment horizontal="center"/>
    </xf>
    <xf numFmtId="1" fontId="9" fillId="0" borderId="21" xfId="2" applyNumberFormat="1" applyFont="1" applyBorder="1" applyAlignment="1">
      <alignment horizontal="center"/>
    </xf>
    <xf numFmtId="0" fontId="9" fillId="0" borderId="22" xfId="2" applyNumberFormat="1" applyFont="1" applyBorder="1" applyAlignment="1">
      <alignment horizontal="center"/>
    </xf>
    <xf numFmtId="164" fontId="9" fillId="0" borderId="23" xfId="2" applyNumberFormat="1" applyFont="1" applyBorder="1" applyAlignment="1">
      <alignment horizontal="center"/>
    </xf>
    <xf numFmtId="0" fontId="9" fillId="0" borderId="23" xfId="2" applyNumberFormat="1" applyFont="1" applyBorder="1" applyAlignment="1">
      <alignment horizontal="center"/>
    </xf>
    <xf numFmtId="2" fontId="10" fillId="2" borderId="25" xfId="2" applyNumberFormat="1" applyFont="1" applyFill="1" applyBorder="1" applyAlignment="1"/>
    <xf numFmtId="2" fontId="10" fillId="2" borderId="26" xfId="2" applyNumberFormat="1" applyFont="1" applyFill="1" applyBorder="1" applyAlignment="1"/>
    <xf numFmtId="0" fontId="10" fillId="3" borderId="32" xfId="2" applyFont="1" applyFill="1" applyBorder="1" applyAlignment="1"/>
    <xf numFmtId="2" fontId="11" fillId="2" borderId="25" xfId="2" applyNumberFormat="1" applyFont="1" applyFill="1" applyBorder="1" applyAlignment="1"/>
    <xf numFmtId="2" fontId="11" fillId="2" borderId="31" xfId="2" applyNumberFormat="1" applyFont="1" applyFill="1" applyBorder="1" applyAlignment="1"/>
    <xf numFmtId="0" fontId="10" fillId="3" borderId="5" xfId="2" applyFont="1" applyFill="1" applyBorder="1" applyAlignment="1"/>
    <xf numFmtId="2" fontId="9" fillId="2" borderId="27" xfId="2" applyNumberFormat="1" applyFont="1" applyFill="1" applyBorder="1" applyAlignment="1">
      <alignment horizontal="center"/>
    </xf>
    <xf numFmtId="2" fontId="9" fillId="2" borderId="28" xfId="2" applyNumberFormat="1" applyFont="1" applyFill="1" applyBorder="1" applyAlignment="1">
      <alignment horizontal="center"/>
    </xf>
    <xf numFmtId="2" fontId="9" fillId="2" borderId="29" xfId="2" applyNumberFormat="1" applyFont="1" applyFill="1" applyBorder="1" applyAlignment="1">
      <alignment horizontal="center"/>
    </xf>
    <xf numFmtId="167" fontId="9" fillId="0" borderId="0" xfId="2" applyNumberFormat="1" applyFont="1" applyBorder="1" applyAlignment="1">
      <alignment horizontal="center" vertical="center"/>
    </xf>
    <xf numFmtId="167" fontId="9" fillId="0" borderId="0" xfId="2" applyNumberFormat="1" applyFont="1" applyAlignment="1">
      <alignment horizontal="center" vertical="center"/>
    </xf>
    <xf numFmtId="164" fontId="9" fillId="0" borderId="0" xfId="2" applyNumberFormat="1" applyFont="1" applyBorder="1" applyAlignment="1">
      <alignment horizontal="center" vertical="center"/>
    </xf>
    <xf numFmtId="164" fontId="9" fillId="0" borderId="0" xfId="2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9" fillId="0" borderId="0" xfId="2" applyFont="1" applyAlignment="1">
      <alignment horizontal="left" vertical="center"/>
    </xf>
    <xf numFmtId="0" fontId="8" fillId="0" borderId="1" xfId="0" applyFont="1" applyBorder="1" applyAlignment="1">
      <alignment vertical="center" wrapText="1"/>
    </xf>
  </cellXfs>
  <cellStyles count="93"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6 2" xfId="14"/>
    <cellStyle name="Normal 3" xfId="7"/>
    <cellStyle name="Normal 3 2" xfId="8"/>
    <cellStyle name="Normal 3 3" xfId="9"/>
    <cellStyle name="Normal 3 4" xfId="10"/>
    <cellStyle name="Normal 3 5" xfId="1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FY36"/>
  <sheetViews>
    <sheetView tabSelected="1" workbookViewId="0">
      <selection activeCell="A2" sqref="A2"/>
    </sheetView>
  </sheetViews>
  <sheetFormatPr baseColWidth="10" defaultColWidth="12.5" defaultRowHeight="15" x14ac:dyDescent="0"/>
  <cols>
    <col min="1" max="1" width="4.1640625" style="26" customWidth="1"/>
    <col min="2" max="2" width="14.1640625" style="1" customWidth="1"/>
    <col min="3" max="3" width="16" style="26" customWidth="1"/>
    <col min="4" max="4" width="11.1640625" style="26" customWidth="1"/>
    <col min="5" max="5" width="12.6640625" style="26" customWidth="1"/>
    <col min="6" max="6" width="12.83203125" style="26" customWidth="1"/>
    <col min="7" max="7" width="13.83203125" style="26" customWidth="1"/>
    <col min="8" max="8" width="15" style="26" customWidth="1"/>
    <col min="9" max="9" width="17.6640625" style="26" customWidth="1"/>
    <col min="10" max="10" width="15.5" style="1" customWidth="1"/>
    <col min="11" max="11" width="16.1640625" style="1" customWidth="1"/>
    <col min="12" max="12" width="16.6640625" style="1" customWidth="1"/>
    <col min="13" max="13" width="22" style="1" customWidth="1"/>
    <col min="14" max="14" width="22.1640625" style="1" customWidth="1"/>
    <col min="15" max="15" width="18.33203125" style="1" customWidth="1"/>
    <col min="16" max="103" width="12.5" style="1"/>
    <col min="104" max="16384" width="12.5" style="26"/>
  </cols>
  <sheetData>
    <row r="1" spans="2:181">
      <c r="B1" s="25"/>
      <c r="C1" s="25"/>
      <c r="D1" s="25"/>
      <c r="E1" s="25"/>
      <c r="F1" s="25"/>
      <c r="G1" s="25"/>
      <c r="H1" s="25"/>
      <c r="I1" s="25"/>
    </row>
    <row r="2" spans="2:181" s="1" customFormat="1" ht="42" customHeight="1" thickBot="1">
      <c r="B2" s="73" t="s">
        <v>40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2:181" s="30" customFormat="1" ht="67" customHeight="1" thickBot="1">
      <c r="B3" s="27" t="s">
        <v>23</v>
      </c>
      <c r="C3" s="28" t="s">
        <v>24</v>
      </c>
      <c r="D3" s="29" t="s">
        <v>28</v>
      </c>
      <c r="E3" s="2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4" t="s">
        <v>35</v>
      </c>
      <c r="L3" s="4" t="s">
        <v>36</v>
      </c>
      <c r="M3" s="4" t="s">
        <v>37</v>
      </c>
      <c r="N3" s="5" t="s">
        <v>38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</row>
    <row r="4" spans="2:181" ht="16" customHeight="1">
      <c r="B4" s="31" t="s">
        <v>4</v>
      </c>
      <c r="C4" s="32" t="s">
        <v>0</v>
      </c>
      <c r="D4" s="33">
        <v>1</v>
      </c>
      <c r="E4" s="34">
        <v>14284</v>
      </c>
      <c r="F4" s="6">
        <v>59</v>
      </c>
      <c r="G4" s="35">
        <v>130</v>
      </c>
      <c r="H4" s="6">
        <v>58</v>
      </c>
      <c r="I4" s="36">
        <v>98.305084745762713</v>
      </c>
      <c r="J4" s="7">
        <v>1820</v>
      </c>
      <c r="K4" s="7">
        <v>18</v>
      </c>
      <c r="L4" s="7">
        <v>37</v>
      </c>
      <c r="M4" s="37">
        <v>18</v>
      </c>
      <c r="N4" s="8">
        <v>100</v>
      </c>
      <c r="CU4" s="26"/>
      <c r="CV4" s="26"/>
      <c r="CW4" s="26"/>
      <c r="CX4" s="26"/>
      <c r="CY4" s="26"/>
    </row>
    <row r="5" spans="2:181" ht="16" customHeight="1">
      <c r="B5" s="31" t="s">
        <v>5</v>
      </c>
      <c r="C5" s="38" t="s">
        <v>0</v>
      </c>
      <c r="D5" s="39">
        <v>1</v>
      </c>
      <c r="E5" s="40">
        <v>20795</v>
      </c>
      <c r="F5" s="10">
        <v>54</v>
      </c>
      <c r="G5" s="41">
        <v>124</v>
      </c>
      <c r="H5" s="10">
        <v>52</v>
      </c>
      <c r="I5" s="42">
        <v>96.296296296296291</v>
      </c>
      <c r="J5" s="11">
        <v>2395</v>
      </c>
      <c r="K5" s="11">
        <v>11</v>
      </c>
      <c r="L5" s="11">
        <v>28</v>
      </c>
      <c r="M5" s="43">
        <v>11</v>
      </c>
      <c r="N5" s="12">
        <v>100</v>
      </c>
      <c r="CU5" s="26"/>
      <c r="CV5" s="26"/>
      <c r="CW5" s="26"/>
      <c r="CX5" s="26"/>
      <c r="CY5" s="26"/>
    </row>
    <row r="6" spans="2:181" ht="16" customHeight="1">
      <c r="B6" s="31" t="s">
        <v>8</v>
      </c>
      <c r="C6" s="38" t="s">
        <v>0</v>
      </c>
      <c r="D6" s="39">
        <v>1</v>
      </c>
      <c r="E6" s="40">
        <v>29931</v>
      </c>
      <c r="F6" s="10">
        <v>123</v>
      </c>
      <c r="G6" s="41">
        <v>400</v>
      </c>
      <c r="H6" s="10">
        <v>119</v>
      </c>
      <c r="I6" s="42">
        <v>96.747967479674799</v>
      </c>
      <c r="J6" s="11">
        <v>3280</v>
      </c>
      <c r="K6" s="11">
        <v>21</v>
      </c>
      <c r="L6" s="11">
        <v>36</v>
      </c>
      <c r="M6" s="43">
        <v>21</v>
      </c>
      <c r="N6" s="12">
        <v>100</v>
      </c>
      <c r="CU6" s="26"/>
      <c r="CV6" s="26"/>
      <c r="CW6" s="26"/>
      <c r="CX6" s="26"/>
      <c r="CY6" s="26"/>
    </row>
    <row r="7" spans="2:181" ht="16" customHeight="1">
      <c r="B7" s="31" t="s">
        <v>9</v>
      </c>
      <c r="C7" s="38" t="s">
        <v>0</v>
      </c>
      <c r="D7" s="39">
        <v>1</v>
      </c>
      <c r="E7" s="40">
        <v>27101</v>
      </c>
      <c r="F7" s="10">
        <v>100</v>
      </c>
      <c r="G7" s="41">
        <v>229</v>
      </c>
      <c r="H7" s="10">
        <v>99</v>
      </c>
      <c r="I7" s="42">
        <v>99</v>
      </c>
      <c r="J7" s="11">
        <v>2372</v>
      </c>
      <c r="K7" s="11">
        <v>6</v>
      </c>
      <c r="L7" s="11">
        <v>7</v>
      </c>
      <c r="M7" s="43">
        <v>6</v>
      </c>
      <c r="N7" s="12">
        <v>100</v>
      </c>
      <c r="CU7" s="26"/>
      <c r="CV7" s="26"/>
      <c r="CW7" s="26"/>
      <c r="CX7" s="26"/>
      <c r="CY7" s="26"/>
    </row>
    <row r="8" spans="2:181" ht="16" customHeight="1">
      <c r="B8" s="31" t="s">
        <v>12</v>
      </c>
      <c r="C8" s="38" t="s">
        <v>0</v>
      </c>
      <c r="D8" s="39">
        <v>1</v>
      </c>
      <c r="E8" s="40">
        <v>8103</v>
      </c>
      <c r="F8" s="10">
        <v>15</v>
      </c>
      <c r="G8" s="41">
        <v>47</v>
      </c>
      <c r="H8" s="10">
        <v>15</v>
      </c>
      <c r="I8" s="42">
        <v>100</v>
      </c>
      <c r="J8" s="11">
        <v>626</v>
      </c>
      <c r="K8" s="11">
        <v>2</v>
      </c>
      <c r="L8" s="11">
        <v>6</v>
      </c>
      <c r="M8" s="43">
        <v>2</v>
      </c>
      <c r="N8" s="12">
        <v>100</v>
      </c>
      <c r="CU8" s="26"/>
      <c r="CV8" s="26"/>
      <c r="CW8" s="26"/>
      <c r="CX8" s="26"/>
      <c r="CY8" s="26"/>
    </row>
    <row r="9" spans="2:181" ht="16" customHeight="1">
      <c r="B9" s="31" t="s">
        <v>14</v>
      </c>
      <c r="C9" s="38" t="s">
        <v>0</v>
      </c>
      <c r="D9" s="39">
        <v>1</v>
      </c>
      <c r="E9" s="40">
        <v>23593</v>
      </c>
      <c r="F9" s="10">
        <v>58</v>
      </c>
      <c r="G9" s="41">
        <v>141</v>
      </c>
      <c r="H9" s="10">
        <v>58</v>
      </c>
      <c r="I9" s="42">
        <v>100</v>
      </c>
      <c r="J9" s="11">
        <v>3373</v>
      </c>
      <c r="K9" s="11">
        <v>11</v>
      </c>
      <c r="L9" s="11">
        <v>18</v>
      </c>
      <c r="M9" s="43">
        <v>11</v>
      </c>
      <c r="N9" s="12">
        <v>100</v>
      </c>
      <c r="CU9" s="26"/>
      <c r="CV9" s="26"/>
      <c r="CW9" s="26"/>
      <c r="CX9" s="26"/>
      <c r="CY9" s="26"/>
    </row>
    <row r="10" spans="2:181" ht="16" customHeight="1">
      <c r="B10" s="31" t="s">
        <v>16</v>
      </c>
      <c r="C10" s="38" t="s">
        <v>0</v>
      </c>
      <c r="D10" s="39">
        <v>1</v>
      </c>
      <c r="E10" s="40">
        <v>25397</v>
      </c>
      <c r="F10" s="10">
        <v>88</v>
      </c>
      <c r="G10" s="41">
        <v>211</v>
      </c>
      <c r="H10" s="10">
        <v>84</v>
      </c>
      <c r="I10" s="42">
        <v>95.454545454545453</v>
      </c>
      <c r="J10" s="11">
        <v>2982</v>
      </c>
      <c r="K10" s="11">
        <v>20</v>
      </c>
      <c r="L10" s="11">
        <v>45</v>
      </c>
      <c r="M10" s="43">
        <v>20</v>
      </c>
      <c r="N10" s="12">
        <v>100</v>
      </c>
      <c r="CU10" s="26"/>
      <c r="CV10" s="26"/>
      <c r="CW10" s="26"/>
      <c r="CX10" s="26"/>
      <c r="CY10" s="26"/>
    </row>
    <row r="11" spans="2:181" ht="16" customHeight="1">
      <c r="B11" s="31" t="s">
        <v>17</v>
      </c>
      <c r="C11" s="38" t="s">
        <v>0</v>
      </c>
      <c r="D11" s="39">
        <v>1</v>
      </c>
      <c r="E11" s="40" t="s">
        <v>2</v>
      </c>
      <c r="F11" s="10" t="s">
        <v>2</v>
      </c>
      <c r="G11" s="9" t="s">
        <v>2</v>
      </c>
      <c r="H11" s="10" t="s">
        <v>2</v>
      </c>
      <c r="I11" s="44" t="s">
        <v>2</v>
      </c>
      <c r="J11" s="11" t="s">
        <v>2</v>
      </c>
      <c r="K11" s="11" t="s">
        <v>2</v>
      </c>
      <c r="L11" s="11" t="s">
        <v>2</v>
      </c>
      <c r="M11" s="44" t="s">
        <v>2</v>
      </c>
      <c r="N11" s="45" t="s">
        <v>2</v>
      </c>
      <c r="CU11" s="26"/>
      <c r="CV11" s="26"/>
      <c r="CW11" s="26"/>
      <c r="CX11" s="26"/>
      <c r="CY11" s="26"/>
    </row>
    <row r="12" spans="2:181" ht="16" customHeight="1">
      <c r="B12" s="31" t="s">
        <v>18</v>
      </c>
      <c r="C12" s="38" t="s">
        <v>0</v>
      </c>
      <c r="D12" s="39">
        <v>1</v>
      </c>
      <c r="E12" s="40" t="s">
        <v>2</v>
      </c>
      <c r="F12" s="10" t="s">
        <v>2</v>
      </c>
      <c r="G12" s="9" t="s">
        <v>2</v>
      </c>
      <c r="H12" s="10" t="s">
        <v>2</v>
      </c>
      <c r="I12" s="44" t="s">
        <v>2</v>
      </c>
      <c r="J12" s="11" t="s">
        <v>2</v>
      </c>
      <c r="K12" s="11" t="s">
        <v>2</v>
      </c>
      <c r="L12" s="11" t="s">
        <v>2</v>
      </c>
      <c r="M12" s="44" t="s">
        <v>2</v>
      </c>
      <c r="N12" s="45" t="s">
        <v>2</v>
      </c>
      <c r="CU12" s="26"/>
      <c r="CV12" s="26"/>
      <c r="CW12" s="26"/>
      <c r="CX12" s="26"/>
      <c r="CY12" s="26"/>
    </row>
    <row r="13" spans="2:181" ht="16" customHeight="1">
      <c r="B13" s="31" t="s">
        <v>20</v>
      </c>
      <c r="C13" s="38" t="s">
        <v>0</v>
      </c>
      <c r="D13" s="39">
        <v>1</v>
      </c>
      <c r="E13" s="40" t="s">
        <v>2</v>
      </c>
      <c r="F13" s="10" t="s">
        <v>2</v>
      </c>
      <c r="G13" s="9" t="s">
        <v>2</v>
      </c>
      <c r="H13" s="10" t="s">
        <v>2</v>
      </c>
      <c r="I13" s="44" t="s">
        <v>2</v>
      </c>
      <c r="J13" s="11" t="s">
        <v>2</v>
      </c>
      <c r="K13" s="11" t="s">
        <v>2</v>
      </c>
      <c r="L13" s="11" t="s">
        <v>2</v>
      </c>
      <c r="M13" s="44" t="s">
        <v>2</v>
      </c>
      <c r="N13" s="45" t="s">
        <v>2</v>
      </c>
      <c r="CU13" s="26"/>
      <c r="CV13" s="26"/>
      <c r="CW13" s="26"/>
      <c r="CX13" s="26"/>
      <c r="CY13" s="26"/>
    </row>
    <row r="14" spans="2:181" ht="16" customHeight="1">
      <c r="B14" s="46" t="s">
        <v>25</v>
      </c>
      <c r="C14" s="47"/>
      <c r="D14" s="48"/>
      <c r="E14" s="13">
        <f>AVERAGE(E4:E10)</f>
        <v>21314.857142857141</v>
      </c>
      <c r="F14" s="14">
        <f t="shared" ref="F14:N14" si="0">AVERAGE(F4:F10)</f>
        <v>71</v>
      </c>
      <c r="G14" s="14">
        <f t="shared" si="0"/>
        <v>183.14285714285714</v>
      </c>
      <c r="H14" s="14">
        <f t="shared" si="0"/>
        <v>69.285714285714292</v>
      </c>
      <c r="I14" s="14">
        <f t="shared" si="0"/>
        <v>97.971984853754194</v>
      </c>
      <c r="J14" s="14">
        <f t="shared" si="0"/>
        <v>2406.8571428571427</v>
      </c>
      <c r="K14" s="14">
        <f t="shared" si="0"/>
        <v>12.714285714285714</v>
      </c>
      <c r="L14" s="14">
        <f t="shared" si="0"/>
        <v>25.285714285714285</v>
      </c>
      <c r="M14" s="14">
        <f t="shared" si="0"/>
        <v>12.714285714285714</v>
      </c>
      <c r="N14" s="15">
        <f t="shared" si="0"/>
        <v>100</v>
      </c>
      <c r="CU14" s="26"/>
      <c r="CV14" s="26"/>
      <c r="CW14" s="26"/>
      <c r="CX14" s="26"/>
      <c r="CY14" s="26"/>
    </row>
    <row r="15" spans="2:181" ht="16" customHeight="1">
      <c r="B15" s="46" t="s">
        <v>26</v>
      </c>
      <c r="C15" s="47"/>
      <c r="D15" s="48"/>
      <c r="E15" s="13">
        <f>STDEVA(E4:E10)</f>
        <v>7679.2747580434843</v>
      </c>
      <c r="F15" s="14">
        <f t="shared" ref="F15:N15" si="1">STDEVA(F4:F10)</f>
        <v>35.52463933666322</v>
      </c>
      <c r="G15" s="14">
        <f t="shared" si="1"/>
        <v>112.94457131919262</v>
      </c>
      <c r="H15" s="14">
        <f t="shared" si="1"/>
        <v>34.330328116279759</v>
      </c>
      <c r="I15" s="14">
        <f t="shared" si="1"/>
        <v>1.8274350580391678</v>
      </c>
      <c r="J15" s="14">
        <f t="shared" si="1"/>
        <v>961.23261641350018</v>
      </c>
      <c r="K15" s="14">
        <f t="shared" si="1"/>
        <v>7.2506157373997251</v>
      </c>
      <c r="L15" s="14">
        <f t="shared" si="1"/>
        <v>15.315724879072116</v>
      </c>
      <c r="M15" s="14">
        <f t="shared" si="1"/>
        <v>7.2506157373997251</v>
      </c>
      <c r="N15" s="15">
        <f t="shared" si="1"/>
        <v>0</v>
      </c>
      <c r="CU15" s="26"/>
      <c r="CV15" s="26"/>
      <c r="CW15" s="26"/>
      <c r="CX15" s="26"/>
      <c r="CY15" s="26"/>
    </row>
    <row r="16" spans="2:181" s="51" customFormat="1" ht="16" customHeight="1" thickBot="1">
      <c r="B16" s="49" t="s">
        <v>27</v>
      </c>
      <c r="C16" s="50"/>
      <c r="D16" s="48"/>
      <c r="E16" s="16">
        <f>E15/(SQRT(7))</f>
        <v>2902.4930370169664</v>
      </c>
      <c r="F16" s="17">
        <f t="shared" ref="F16:N16" si="2">F15/(SQRT(7))</f>
        <v>13.427051585724778</v>
      </c>
      <c r="G16" s="17">
        <f t="shared" si="2"/>
        <v>42.689035377911715</v>
      </c>
      <c r="H16" s="17">
        <f t="shared" si="2"/>
        <v>12.975644374703535</v>
      </c>
      <c r="I16" s="17">
        <f t="shared" si="2"/>
        <v>0.69070552867036061</v>
      </c>
      <c r="J16" s="17">
        <f t="shared" si="2"/>
        <v>363.31177930200926</v>
      </c>
      <c r="K16" s="17">
        <f t="shared" si="2"/>
        <v>2.7404751561786966</v>
      </c>
      <c r="L16" s="17">
        <f t="shared" si="2"/>
        <v>5.7887998826728024</v>
      </c>
      <c r="M16" s="17">
        <f t="shared" si="2"/>
        <v>2.7404751561786966</v>
      </c>
      <c r="N16" s="18">
        <f t="shared" si="2"/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</row>
    <row r="17" spans="2:181" ht="16" customHeight="1" thickTop="1">
      <c r="B17" s="31" t="s">
        <v>3</v>
      </c>
      <c r="C17" s="52" t="s">
        <v>1</v>
      </c>
      <c r="D17" s="53">
        <v>1</v>
      </c>
      <c r="E17" s="54">
        <v>11556</v>
      </c>
      <c r="F17" s="19">
        <v>44</v>
      </c>
      <c r="G17" s="55">
        <v>128</v>
      </c>
      <c r="H17" s="19">
        <v>43</v>
      </c>
      <c r="I17" s="56">
        <v>97.727272727272734</v>
      </c>
      <c r="J17" s="20">
        <v>1519</v>
      </c>
      <c r="K17" s="20">
        <v>12</v>
      </c>
      <c r="L17" s="20">
        <v>19</v>
      </c>
      <c r="M17" s="57">
        <v>12</v>
      </c>
      <c r="N17" s="21">
        <v>100</v>
      </c>
      <c r="CU17" s="26"/>
      <c r="CV17" s="26"/>
      <c r="CW17" s="26"/>
      <c r="CX17" s="26"/>
      <c r="CY17" s="26"/>
    </row>
    <row r="18" spans="2:181" ht="16" customHeight="1">
      <c r="B18" s="31" t="s">
        <v>6</v>
      </c>
      <c r="C18" s="38" t="s">
        <v>1</v>
      </c>
      <c r="D18" s="39">
        <v>1</v>
      </c>
      <c r="E18" s="40">
        <v>29728</v>
      </c>
      <c r="F18" s="10">
        <v>208</v>
      </c>
      <c r="G18" s="41">
        <v>392</v>
      </c>
      <c r="H18" s="10">
        <v>207</v>
      </c>
      <c r="I18" s="42">
        <v>99.519230769230774</v>
      </c>
      <c r="J18" s="11">
        <v>3657</v>
      </c>
      <c r="K18" s="11">
        <v>25</v>
      </c>
      <c r="L18" s="11">
        <v>33</v>
      </c>
      <c r="M18" s="43">
        <v>25</v>
      </c>
      <c r="N18" s="12">
        <v>100</v>
      </c>
      <c r="CU18" s="26"/>
      <c r="CV18" s="26"/>
      <c r="CW18" s="26"/>
      <c r="CX18" s="26"/>
      <c r="CY18" s="26"/>
    </row>
    <row r="19" spans="2:181" ht="16" customHeight="1">
      <c r="B19" s="31" t="s">
        <v>7</v>
      </c>
      <c r="C19" s="38" t="s">
        <v>1</v>
      </c>
      <c r="D19" s="39">
        <v>1</v>
      </c>
      <c r="E19" s="40">
        <v>11027</v>
      </c>
      <c r="F19" s="10">
        <v>64</v>
      </c>
      <c r="G19" s="41">
        <v>130</v>
      </c>
      <c r="H19" s="10">
        <v>62</v>
      </c>
      <c r="I19" s="42">
        <v>96.875</v>
      </c>
      <c r="J19" s="11">
        <v>1535</v>
      </c>
      <c r="K19" s="11">
        <v>14</v>
      </c>
      <c r="L19" s="11">
        <v>23</v>
      </c>
      <c r="M19" s="43">
        <v>14</v>
      </c>
      <c r="N19" s="12">
        <v>100</v>
      </c>
      <c r="CU19" s="26"/>
      <c r="CV19" s="26"/>
      <c r="CW19" s="26"/>
      <c r="CX19" s="26"/>
      <c r="CY19" s="26"/>
    </row>
    <row r="20" spans="2:181" ht="16" customHeight="1">
      <c r="B20" s="31" t="s">
        <v>10</v>
      </c>
      <c r="C20" s="38" t="s">
        <v>1</v>
      </c>
      <c r="D20" s="39">
        <v>1</v>
      </c>
      <c r="E20" s="40">
        <v>30483</v>
      </c>
      <c r="F20" s="10">
        <v>163</v>
      </c>
      <c r="G20" s="41">
        <v>408</v>
      </c>
      <c r="H20" s="10">
        <v>158</v>
      </c>
      <c r="I20" s="42">
        <v>96.932515337423311</v>
      </c>
      <c r="J20" s="11">
        <v>5121</v>
      </c>
      <c r="K20" s="11">
        <v>49</v>
      </c>
      <c r="L20" s="11">
        <v>66</v>
      </c>
      <c r="M20" s="43">
        <v>48</v>
      </c>
      <c r="N20" s="12">
        <v>97.959183673469383</v>
      </c>
      <c r="CU20" s="26"/>
      <c r="CV20" s="26"/>
      <c r="CW20" s="26"/>
      <c r="CX20" s="26"/>
      <c r="CY20" s="26"/>
    </row>
    <row r="21" spans="2:181" ht="16" customHeight="1">
      <c r="B21" s="31" t="s">
        <v>11</v>
      </c>
      <c r="C21" s="38" t="s">
        <v>1</v>
      </c>
      <c r="D21" s="39">
        <v>1</v>
      </c>
      <c r="E21" s="40">
        <v>24323</v>
      </c>
      <c r="F21" s="10">
        <v>177</v>
      </c>
      <c r="G21" s="41">
        <v>442</v>
      </c>
      <c r="H21" s="10">
        <v>176</v>
      </c>
      <c r="I21" s="42">
        <v>99.435028248587571</v>
      </c>
      <c r="J21" s="11">
        <v>5719</v>
      </c>
      <c r="K21" s="11">
        <v>47</v>
      </c>
      <c r="L21" s="11">
        <v>64</v>
      </c>
      <c r="M21" s="43">
        <v>47</v>
      </c>
      <c r="N21" s="12">
        <v>100</v>
      </c>
      <c r="CU21" s="26"/>
      <c r="CV21" s="26"/>
      <c r="CW21" s="26"/>
      <c r="CX21" s="26"/>
      <c r="CY21" s="26"/>
    </row>
    <row r="22" spans="2:181" ht="16" customHeight="1">
      <c r="B22" s="31" t="s">
        <v>13</v>
      </c>
      <c r="C22" s="38" t="s">
        <v>1</v>
      </c>
      <c r="D22" s="39">
        <v>1</v>
      </c>
      <c r="E22" s="40">
        <v>30049</v>
      </c>
      <c r="F22" s="10">
        <v>155</v>
      </c>
      <c r="G22" s="41">
        <v>273</v>
      </c>
      <c r="H22" s="10">
        <v>150</v>
      </c>
      <c r="I22" s="42">
        <v>96.774193548387103</v>
      </c>
      <c r="J22" s="11">
        <v>4306</v>
      </c>
      <c r="K22" s="11">
        <v>30</v>
      </c>
      <c r="L22" s="11">
        <v>46</v>
      </c>
      <c r="M22" s="43">
        <v>29</v>
      </c>
      <c r="N22" s="12">
        <v>96.666666666666671</v>
      </c>
      <c r="CU22" s="26"/>
      <c r="CV22" s="26"/>
      <c r="CW22" s="26"/>
      <c r="CX22" s="26"/>
      <c r="CY22" s="26"/>
    </row>
    <row r="23" spans="2:181" ht="16" customHeight="1">
      <c r="B23" s="31" t="s">
        <v>15</v>
      </c>
      <c r="C23" s="38" t="s">
        <v>1</v>
      </c>
      <c r="D23" s="39">
        <v>1</v>
      </c>
      <c r="E23" s="40">
        <v>37320</v>
      </c>
      <c r="F23" s="10">
        <v>236</v>
      </c>
      <c r="G23" s="41">
        <v>436</v>
      </c>
      <c r="H23" s="10">
        <v>232</v>
      </c>
      <c r="I23" s="42">
        <v>98.305084745762713</v>
      </c>
      <c r="J23" s="11">
        <v>4886</v>
      </c>
      <c r="K23" s="11">
        <v>79</v>
      </c>
      <c r="L23" s="11">
        <v>102</v>
      </c>
      <c r="M23" s="43">
        <v>77</v>
      </c>
      <c r="N23" s="12">
        <v>97.468354430379748</v>
      </c>
      <c r="CU23" s="26"/>
      <c r="CV23" s="26"/>
      <c r="CW23" s="26"/>
      <c r="CX23" s="26"/>
      <c r="CY23" s="26"/>
    </row>
    <row r="24" spans="2:181" ht="16" customHeight="1">
      <c r="B24" s="31" t="s">
        <v>19</v>
      </c>
      <c r="C24" s="38" t="s">
        <v>1</v>
      </c>
      <c r="D24" s="39">
        <v>1</v>
      </c>
      <c r="E24" s="40" t="s">
        <v>2</v>
      </c>
      <c r="F24" s="10" t="s">
        <v>2</v>
      </c>
      <c r="G24" s="9" t="s">
        <v>2</v>
      </c>
      <c r="H24" s="10" t="s">
        <v>2</v>
      </c>
      <c r="I24" s="44" t="s">
        <v>2</v>
      </c>
      <c r="J24" s="11" t="s">
        <v>2</v>
      </c>
      <c r="K24" s="11" t="s">
        <v>2</v>
      </c>
      <c r="L24" s="11" t="s">
        <v>2</v>
      </c>
      <c r="M24" s="44" t="s">
        <v>2</v>
      </c>
      <c r="N24" s="45" t="s">
        <v>2</v>
      </c>
      <c r="CU24" s="26"/>
      <c r="CV24" s="26"/>
      <c r="CW24" s="26"/>
      <c r="CX24" s="26"/>
      <c r="CY24" s="26"/>
    </row>
    <row r="25" spans="2:181" ht="16" customHeight="1">
      <c r="B25" s="31" t="s">
        <v>21</v>
      </c>
      <c r="C25" s="38" t="s">
        <v>1</v>
      </c>
      <c r="D25" s="39">
        <v>1</v>
      </c>
      <c r="E25" s="40" t="s">
        <v>2</v>
      </c>
      <c r="F25" s="10" t="s">
        <v>2</v>
      </c>
      <c r="G25" s="9" t="s">
        <v>2</v>
      </c>
      <c r="H25" s="10" t="s">
        <v>2</v>
      </c>
      <c r="I25" s="44" t="s">
        <v>2</v>
      </c>
      <c r="J25" s="11" t="s">
        <v>2</v>
      </c>
      <c r="K25" s="11" t="s">
        <v>2</v>
      </c>
      <c r="L25" s="11" t="s">
        <v>2</v>
      </c>
      <c r="M25" s="44" t="s">
        <v>2</v>
      </c>
      <c r="N25" s="45" t="s">
        <v>2</v>
      </c>
      <c r="CU25" s="26"/>
      <c r="CV25" s="26"/>
      <c r="CW25" s="26"/>
      <c r="CX25" s="26"/>
      <c r="CY25" s="26"/>
    </row>
    <row r="26" spans="2:181" ht="16" customHeight="1">
      <c r="B26" s="31" t="s">
        <v>22</v>
      </c>
      <c r="C26" s="38" t="s">
        <v>1</v>
      </c>
      <c r="D26" s="39">
        <v>1</v>
      </c>
      <c r="E26" s="40" t="s">
        <v>2</v>
      </c>
      <c r="F26" s="10" t="s">
        <v>2</v>
      </c>
      <c r="G26" s="9" t="s">
        <v>2</v>
      </c>
      <c r="H26" s="10" t="s">
        <v>2</v>
      </c>
      <c r="I26" s="44" t="s">
        <v>2</v>
      </c>
      <c r="J26" s="11" t="s">
        <v>2</v>
      </c>
      <c r="K26" s="11" t="s">
        <v>2</v>
      </c>
      <c r="L26" s="11" t="s">
        <v>2</v>
      </c>
      <c r="M26" s="44" t="s">
        <v>2</v>
      </c>
      <c r="N26" s="45" t="s">
        <v>2</v>
      </c>
      <c r="CU26" s="26"/>
      <c r="CV26" s="26"/>
      <c r="CW26" s="26"/>
      <c r="CX26" s="26"/>
      <c r="CY26" s="26"/>
    </row>
    <row r="27" spans="2:181" ht="16" customHeight="1">
      <c r="B27" s="46" t="s">
        <v>25</v>
      </c>
      <c r="C27" s="47"/>
      <c r="D27" s="48"/>
      <c r="E27" s="13">
        <f>AVERAGE(E17:E23)</f>
        <v>24926.571428571428</v>
      </c>
      <c r="F27" s="14">
        <f t="shared" ref="F27:N27" si="3">AVERAGE(F17:F23)</f>
        <v>149.57142857142858</v>
      </c>
      <c r="G27" s="14">
        <f t="shared" si="3"/>
        <v>315.57142857142856</v>
      </c>
      <c r="H27" s="14">
        <f t="shared" si="3"/>
        <v>146.85714285714286</v>
      </c>
      <c r="I27" s="14">
        <f t="shared" si="3"/>
        <v>97.938332196666323</v>
      </c>
      <c r="J27" s="14">
        <f t="shared" si="3"/>
        <v>3820.4285714285716</v>
      </c>
      <c r="K27" s="14">
        <f t="shared" si="3"/>
        <v>36.571428571428569</v>
      </c>
      <c r="L27" s="14">
        <f t="shared" si="3"/>
        <v>50.428571428571431</v>
      </c>
      <c r="M27" s="14">
        <f t="shared" si="3"/>
        <v>36</v>
      </c>
      <c r="N27" s="15">
        <f t="shared" si="3"/>
        <v>98.870600681502239</v>
      </c>
      <c r="CU27" s="26"/>
      <c r="CV27" s="26"/>
      <c r="CW27" s="26"/>
      <c r="CX27" s="26"/>
      <c r="CY27" s="26"/>
    </row>
    <row r="28" spans="2:181" ht="16" customHeight="1">
      <c r="B28" s="46" t="s">
        <v>26</v>
      </c>
      <c r="C28" s="47"/>
      <c r="D28" s="48"/>
      <c r="E28" s="13">
        <f>STDEVA(E17:E23)</f>
        <v>10050.692560832858</v>
      </c>
      <c r="F28" s="14">
        <f t="shared" ref="F28:N28" si="4">STDEVA(F17:F23)</f>
        <v>71.079432427993652</v>
      </c>
      <c r="G28" s="14">
        <f t="shared" si="4"/>
        <v>139.22626325859781</v>
      </c>
      <c r="H28" s="14">
        <f t="shared" si="4"/>
        <v>70.518150314720543</v>
      </c>
      <c r="I28" s="14">
        <f t="shared" si="4"/>
        <v>1.1843390989411524</v>
      </c>
      <c r="J28" s="14">
        <f t="shared" si="4"/>
        <v>1693.7998560576609</v>
      </c>
      <c r="K28" s="14">
        <f t="shared" si="4"/>
        <v>23.642173778068315</v>
      </c>
      <c r="L28" s="14">
        <f t="shared" si="4"/>
        <v>29.296513688248204</v>
      </c>
      <c r="M28" s="14">
        <f t="shared" si="4"/>
        <v>23.007245235649865</v>
      </c>
      <c r="N28" s="15">
        <f t="shared" si="4"/>
        <v>1.4581079027036312</v>
      </c>
      <c r="CU28" s="26"/>
      <c r="CV28" s="26"/>
      <c r="CW28" s="26"/>
      <c r="CX28" s="26"/>
      <c r="CY28" s="26"/>
    </row>
    <row r="29" spans="2:181" s="51" customFormat="1" ht="16" customHeight="1" thickBot="1">
      <c r="B29" s="58" t="s">
        <v>27</v>
      </c>
      <c r="C29" s="59"/>
      <c r="D29" s="60"/>
      <c r="E29" s="22">
        <f>E28/(SQRT(7))</f>
        <v>3798.8047171329517</v>
      </c>
      <c r="F29" s="23">
        <f t="shared" ref="F29:N29" si="5">F28/(SQRT(7))</f>
        <v>26.865500219441596</v>
      </c>
      <c r="G29" s="23">
        <f t="shared" si="5"/>
        <v>52.622581221579857</v>
      </c>
      <c r="H29" s="23">
        <f t="shared" si="5"/>
        <v>26.65335552128882</v>
      </c>
      <c r="I29" s="23">
        <f t="shared" si="5"/>
        <v>0.44763810339551569</v>
      </c>
      <c r="J29" s="23">
        <f t="shared" si="5"/>
        <v>640.19616997793867</v>
      </c>
      <c r="K29" s="23">
        <f t="shared" si="5"/>
        <v>8.9359017528201612</v>
      </c>
      <c r="L29" s="23">
        <f t="shared" si="5"/>
        <v>11.073041357186344</v>
      </c>
      <c r="M29" s="23">
        <f t="shared" si="5"/>
        <v>8.6959213208864554</v>
      </c>
      <c r="N29" s="24">
        <f t="shared" si="5"/>
        <v>0.55111298503596751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</row>
    <row r="30" spans="2:181" ht="16" thickBot="1">
      <c r="B30" s="61" t="s">
        <v>39</v>
      </c>
      <c r="C30" s="62"/>
      <c r="D30" s="63"/>
      <c r="E30" s="64">
        <f>TTEST(E4:E10,E17:E23,2,3)</f>
        <v>0.4655229139540964</v>
      </c>
      <c r="F30" s="65">
        <f t="shared" ref="F30:N30" si="6">TTEST(F4:F10,F17:F23,2,3)</f>
        <v>2.8445972234954455E-2</v>
      </c>
      <c r="G30" s="65">
        <f t="shared" si="6"/>
        <v>7.5382554024034126E-2</v>
      </c>
      <c r="H30" s="65">
        <f t="shared" si="6"/>
        <v>2.8755673583870614E-2</v>
      </c>
      <c r="I30" s="65">
        <f t="shared" si="6"/>
        <v>0.96816930703354886</v>
      </c>
      <c r="J30" s="65">
        <f t="shared" si="6"/>
        <v>8.5294181610646364E-2</v>
      </c>
      <c r="K30" s="65">
        <f t="shared" si="6"/>
        <v>3.743703449531835E-2</v>
      </c>
      <c r="L30" s="65">
        <f t="shared" si="6"/>
        <v>7.4874959042169509E-2</v>
      </c>
      <c r="M30" s="65">
        <f t="shared" si="6"/>
        <v>3.708953014805378E-2</v>
      </c>
      <c r="N30" s="66">
        <f t="shared" si="6"/>
        <v>8.6324891114162569E-2</v>
      </c>
    </row>
    <row r="31" spans="2:181">
      <c r="E31" s="67"/>
      <c r="F31" s="67"/>
      <c r="G31" s="67"/>
      <c r="H31" s="67"/>
      <c r="I31" s="67"/>
      <c r="J31" s="68"/>
      <c r="K31" s="68"/>
      <c r="L31" s="68"/>
      <c r="M31" s="68"/>
      <c r="N31" s="68"/>
    </row>
    <row r="32" spans="2:181">
      <c r="E32" s="69"/>
      <c r="F32" s="69"/>
      <c r="G32" s="69"/>
      <c r="H32" s="69"/>
      <c r="I32" s="69"/>
      <c r="J32" s="70"/>
      <c r="K32" s="70"/>
      <c r="L32" s="70"/>
      <c r="M32" s="70"/>
      <c r="N32" s="70"/>
    </row>
    <row r="33" spans="2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</row>
    <row r="36" spans="2:14">
      <c r="B36" s="72"/>
    </row>
  </sheetData>
  <mergeCells count="1">
    <mergeCell ref="B2:N2"/>
  </mergeCells>
  <pageMargins left="0.75" right="0.75" top="0.5" bottom="0" header="0" footer="0"/>
  <pageSetup scale="38" orientation="portrait" horizontalDpi="4294967292" verticalDpi="4294967292"/>
  <headerFooter>
    <oddFooter>&amp;R&amp;"Arial,Regular"&amp;16&amp;K808080&amp;[37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 Table 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Cox</dc:creator>
  <cp:lastModifiedBy>Aaron Cox</cp:lastModifiedBy>
  <dcterms:created xsi:type="dcterms:W3CDTF">2015-11-02T23:26:35Z</dcterms:created>
  <dcterms:modified xsi:type="dcterms:W3CDTF">2016-04-24T14:39:33Z</dcterms:modified>
</cp:coreProperties>
</file>