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819"/>
  <workbookPr showInkAnnotation="0" autoCompressPictures="0"/>
  <bookViews>
    <workbookView xWindow="0" yWindow="0" windowWidth="25600" windowHeight="16060" tabRatio="659"/>
  </bookViews>
  <sheets>
    <sheet name="Suppl Table 8" sheetId="7" r:id="rId1"/>
  </sheets>
  <definedNames>
    <definedName name="_xlnm.Print_Area" localSheetId="0">'Suppl Table 8'!$B$3:$C$25</definedName>
  </definedName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K30" i="7" l="1"/>
  <c r="J30" i="7"/>
  <c r="I30" i="7"/>
  <c r="H30" i="7"/>
  <c r="G30" i="7"/>
  <c r="F30" i="7"/>
  <c r="E30" i="7"/>
  <c r="K28" i="7"/>
  <c r="K29" i="7"/>
  <c r="J28" i="7"/>
  <c r="J29" i="7"/>
  <c r="I28" i="7"/>
  <c r="I29" i="7"/>
  <c r="H28" i="7"/>
  <c r="H29" i="7"/>
  <c r="G28" i="7"/>
  <c r="G29" i="7"/>
  <c r="F28" i="7"/>
  <c r="F29" i="7"/>
  <c r="E28" i="7"/>
  <c r="E29" i="7"/>
  <c r="K27" i="7"/>
  <c r="J27" i="7"/>
  <c r="I27" i="7"/>
  <c r="H27" i="7"/>
  <c r="G27" i="7"/>
  <c r="F27" i="7"/>
  <c r="E27" i="7"/>
  <c r="K15" i="7"/>
  <c r="K16" i="7"/>
  <c r="J15" i="7"/>
  <c r="J16" i="7"/>
  <c r="I15" i="7"/>
  <c r="I16" i="7"/>
  <c r="H15" i="7"/>
  <c r="H16" i="7"/>
  <c r="G15" i="7"/>
  <c r="G16" i="7"/>
  <c r="F15" i="7"/>
  <c r="F16" i="7"/>
  <c r="E15" i="7"/>
  <c r="E16" i="7"/>
  <c r="K14" i="7"/>
  <c r="J14" i="7"/>
  <c r="I14" i="7"/>
  <c r="H14" i="7"/>
  <c r="G14" i="7"/>
  <c r="F14" i="7"/>
  <c r="E14" i="7"/>
</calcChain>
</file>

<file path=xl/sharedStrings.xml><?xml version="1.0" encoding="utf-8"?>
<sst xmlns="http://schemas.openxmlformats.org/spreadsheetml/2006/main" count="78" uniqueCount="38">
  <si>
    <t>MBP</t>
  </si>
  <si>
    <t>MBP+hBT</t>
  </si>
  <si>
    <t>CM7720</t>
  </si>
  <si>
    <t>CM7721</t>
  </si>
  <si>
    <t>CM7722</t>
  </si>
  <si>
    <t>CM7723</t>
  </si>
  <si>
    <t>CM7724</t>
  </si>
  <si>
    <t>CM7725</t>
  </si>
  <si>
    <t>CM7726</t>
  </si>
  <si>
    <t>CM7727</t>
  </si>
  <si>
    <t>CM7728</t>
  </si>
  <si>
    <t>CM7729</t>
  </si>
  <si>
    <t>CM7730</t>
  </si>
  <si>
    <t>CM7731</t>
  </si>
  <si>
    <t>CM7732</t>
  </si>
  <si>
    <t>CM7733</t>
  </si>
  <si>
    <t>CM7734</t>
  </si>
  <si>
    <t>CM7735</t>
  </si>
  <si>
    <t>CM7736</t>
  </si>
  <si>
    <t>CM7737</t>
  </si>
  <si>
    <t>CM7738</t>
  </si>
  <si>
    <t>CM7739</t>
  </si>
  <si>
    <t>Animal ID#</t>
  </si>
  <si>
    <t>Treatment</t>
  </si>
  <si>
    <t>Average</t>
  </si>
  <si>
    <t>Standard Deviation</t>
  </si>
  <si>
    <t>Standard Error</t>
  </si>
  <si>
    <t>Slide #</t>
  </si>
  <si>
    <t>1, 4</t>
  </si>
  <si>
    <r>
      <t>p</t>
    </r>
    <r>
      <rPr>
        <b/>
        <sz val="12"/>
        <rFont val="Arial"/>
      </rPr>
      <t xml:space="preserve"> value (t-test)</t>
    </r>
  </si>
  <si>
    <t>All DAPI+ Cells</t>
  </si>
  <si>
    <t>DAPI+ Islet Cells</t>
  </si>
  <si>
    <t>DAPI+ Exocrine Cells</t>
  </si>
  <si>
    <t>DAPI+ Ki67+ Exocrine Cells</t>
  </si>
  <si>
    <t>DAPI+ Ki67+ Exocrine Cells (% Total Exocrine Cells)</t>
  </si>
  <si>
    <t>DAPI+ EdU+ Exocrine Cells</t>
  </si>
  <si>
    <t>DAPI+ EdU+ Exocrine Cells (% Total Exocrine Cells)</t>
  </si>
  <si>
    <r>
      <t xml:space="preserve">Supplemental Table 8. Individual data for exocrine cell proliferation for ANGPTL8 treatment studies. </t>
    </r>
    <r>
      <rPr>
        <sz val="12"/>
        <color theme="1"/>
        <rFont val="Arial"/>
      </rPr>
      <t>Measurements were recorded from 10-week-old CD1 male mice injected with maltose binding protein (MBP; control) or MBP-human betatrophin (hBT) fusion protein for two days and sacrificed on day three. Quantification of pancreatic proliferation by Ki67 or EdU (% of total exocrine cells). Exocrine cells were calculated by subtracting total DAPI+ islet cells from all DAPI cells.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</si>
</sst>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7" formatCode="0.000000"/>
  </numFmts>
  <fonts count="1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Verdana"/>
      <family val="2"/>
    </font>
    <font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theme="1"/>
      <name val="Arial"/>
    </font>
    <font>
      <b/>
      <sz val="12"/>
      <color theme="1"/>
      <name val="Arial"/>
    </font>
    <font>
      <sz val="12"/>
      <name val="Arial"/>
    </font>
    <font>
      <b/>
      <sz val="12"/>
      <name val="Arial"/>
    </font>
    <font>
      <b/>
      <i/>
      <sz val="12"/>
      <name val="Arial"/>
    </font>
    <font>
      <b/>
      <sz val="11.5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lightUp"/>
    </fill>
  </fills>
  <borders count="27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double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93">
    <xf numFmtId="0" fontId="0" fillId="0" borderId="0"/>
    <xf numFmtId="0" fontId="2" fillId="0" borderId="0"/>
    <xf numFmtId="0" fontId="3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1" fillId="0" borderId="0"/>
    <xf numFmtId="0" fontId="1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55">
    <xf numFmtId="0" fontId="0" fillId="0" borderId="0" xfId="0"/>
    <xf numFmtId="0" fontId="9" fillId="0" borderId="0" xfId="2" applyFont="1" applyAlignment="1">
      <alignment horizontal="center" vertical="center"/>
    </xf>
    <xf numFmtId="0" fontId="10" fillId="0" borderId="2" xfId="2" applyFont="1" applyFill="1" applyBorder="1" applyAlignment="1">
      <alignment horizontal="center" vertical="center" wrapText="1"/>
    </xf>
    <xf numFmtId="0" fontId="8" fillId="0" borderId="3" xfId="2" applyFont="1" applyFill="1" applyBorder="1" applyAlignment="1">
      <alignment horizontal="center" vertical="center" wrapText="1"/>
    </xf>
    <xf numFmtId="0" fontId="8" fillId="0" borderId="4" xfId="2" applyFont="1" applyFill="1" applyBorder="1" applyAlignment="1">
      <alignment horizontal="center" vertical="center" wrapText="1"/>
    </xf>
    <xf numFmtId="1" fontId="9" fillId="0" borderId="7" xfId="2" applyNumberFormat="1" applyFont="1" applyBorder="1" applyAlignment="1">
      <alignment horizontal="center"/>
    </xf>
    <xf numFmtId="1" fontId="9" fillId="0" borderId="10" xfId="2" applyNumberFormat="1" applyFont="1" applyBorder="1" applyAlignment="1">
      <alignment horizontal="center"/>
    </xf>
    <xf numFmtId="164" fontId="9" fillId="2" borderId="10" xfId="2" applyNumberFormat="1" applyFont="1" applyFill="1" applyBorder="1" applyAlignment="1">
      <alignment horizontal="center"/>
    </xf>
    <xf numFmtId="164" fontId="9" fillId="2" borderId="15" xfId="2" applyNumberFormat="1" applyFont="1" applyFill="1" applyBorder="1" applyAlignment="1">
      <alignment horizontal="center"/>
    </xf>
    <xf numFmtId="1" fontId="9" fillId="0" borderId="18" xfId="2" applyNumberFormat="1" applyFont="1" applyBorder="1" applyAlignment="1">
      <alignment horizontal="center"/>
    </xf>
    <xf numFmtId="164" fontId="9" fillId="2" borderId="22" xfId="2" applyNumberFormat="1" applyFont="1" applyFill="1" applyBorder="1" applyAlignment="1">
      <alignment horizontal="center"/>
    </xf>
    <xf numFmtId="0" fontId="9" fillId="0" borderId="0" xfId="2" applyFont="1" applyBorder="1" applyAlignment="1">
      <alignment horizontal="left" vertical="center"/>
    </xf>
    <xf numFmtId="0" fontId="9" fillId="0" borderId="0" xfId="2" applyFont="1" applyBorder="1" applyAlignment="1">
      <alignment horizontal="center" vertical="center"/>
    </xf>
    <xf numFmtId="0" fontId="10" fillId="0" borderId="24" xfId="2" applyFont="1" applyFill="1" applyBorder="1" applyAlignment="1">
      <alignment horizontal="center" vertical="center" wrapText="1"/>
    </xf>
    <xf numFmtId="0" fontId="10" fillId="0" borderId="3" xfId="2" applyFont="1" applyFill="1" applyBorder="1" applyAlignment="1">
      <alignment horizontal="center" vertical="center" wrapText="1"/>
    </xf>
    <xf numFmtId="0" fontId="9" fillId="0" borderId="0" xfId="2" applyFont="1" applyBorder="1" applyAlignment="1">
      <alignment horizontal="center" vertical="center" wrapText="1"/>
    </xf>
    <xf numFmtId="0" fontId="9" fillId="2" borderId="11" xfId="2" applyFont="1" applyFill="1" applyBorder="1" applyAlignment="1">
      <alignment horizontal="center"/>
    </xf>
    <xf numFmtId="0" fontId="9" fillId="2" borderId="7" xfId="2" applyFont="1" applyFill="1" applyBorder="1" applyAlignment="1">
      <alignment horizontal="center"/>
    </xf>
    <xf numFmtId="0" fontId="9" fillId="2" borderId="10" xfId="2" applyFont="1" applyFill="1" applyBorder="1" applyAlignment="1">
      <alignment horizontal="center"/>
    </xf>
    <xf numFmtId="2" fontId="9" fillId="0" borderId="5" xfId="2" applyNumberFormat="1" applyFont="1" applyBorder="1" applyAlignment="1">
      <alignment horizontal="center"/>
    </xf>
    <xf numFmtId="0" fontId="10" fillId="2" borderId="11" xfId="2" applyFont="1" applyFill="1" applyBorder="1" applyAlignment="1"/>
    <xf numFmtId="0" fontId="10" fillId="2" borderId="12" xfId="2" applyFont="1" applyFill="1" applyBorder="1" applyAlignment="1"/>
    <xf numFmtId="2" fontId="10" fillId="2" borderId="13" xfId="2" applyNumberFormat="1" applyFont="1" applyFill="1" applyBorder="1" applyAlignment="1"/>
    <xf numFmtId="2" fontId="10" fillId="2" borderId="14" xfId="2" applyNumberFormat="1" applyFont="1" applyFill="1" applyBorder="1" applyAlignment="1"/>
    <xf numFmtId="2" fontId="9" fillId="0" borderId="0" xfId="2" applyNumberFormat="1" applyFont="1" applyBorder="1" applyAlignment="1">
      <alignment horizontal="center" vertical="center"/>
    </xf>
    <xf numFmtId="0" fontId="9" fillId="2" borderId="18" xfId="2" applyFont="1" applyFill="1" applyBorder="1" applyAlignment="1">
      <alignment horizontal="center"/>
    </xf>
    <xf numFmtId="2" fontId="10" fillId="2" borderId="20" xfId="2" applyNumberFormat="1" applyFont="1" applyFill="1" applyBorder="1" applyAlignment="1"/>
    <xf numFmtId="2" fontId="10" fillId="2" borderId="21" xfId="2" applyNumberFormat="1" applyFont="1" applyFill="1" applyBorder="1" applyAlignment="1"/>
    <xf numFmtId="2" fontId="11" fillId="2" borderId="20" xfId="2" applyNumberFormat="1" applyFont="1" applyFill="1" applyBorder="1" applyAlignment="1"/>
    <xf numFmtId="2" fontId="11" fillId="2" borderId="25" xfId="2" applyNumberFormat="1" applyFont="1" applyFill="1" applyBorder="1" applyAlignment="1"/>
    <xf numFmtId="2" fontId="9" fillId="2" borderId="22" xfId="2" applyNumberFormat="1" applyFont="1" applyFill="1" applyBorder="1" applyAlignment="1">
      <alignment horizontal="center"/>
    </xf>
    <xf numFmtId="2" fontId="9" fillId="2" borderId="23" xfId="2" applyNumberFormat="1" applyFont="1" applyFill="1" applyBorder="1" applyAlignment="1">
      <alignment horizontal="center"/>
    </xf>
    <xf numFmtId="167" fontId="9" fillId="0" borderId="0" xfId="2" applyNumberFormat="1" applyFont="1" applyAlignment="1">
      <alignment horizontal="center" vertical="center"/>
    </xf>
    <xf numFmtId="164" fontId="9" fillId="0" borderId="0" xfId="2" applyNumberFormat="1" applyFont="1" applyAlignment="1">
      <alignment horizontal="center" vertical="center"/>
    </xf>
    <xf numFmtId="0" fontId="12" fillId="0" borderId="0" xfId="0" applyFont="1" applyAlignment="1">
      <alignment vertical="center" wrapText="1"/>
    </xf>
    <xf numFmtId="0" fontId="9" fillId="0" borderId="0" xfId="2" applyFont="1" applyAlignment="1">
      <alignment horizontal="left" vertical="center"/>
    </xf>
    <xf numFmtId="2" fontId="9" fillId="0" borderId="8" xfId="2" applyNumberFormat="1" applyFont="1" applyBorder="1" applyAlignment="1">
      <alignment horizontal="center"/>
    </xf>
    <xf numFmtId="2" fontId="9" fillId="2" borderId="10" xfId="2" applyNumberFormat="1" applyFont="1" applyFill="1" applyBorder="1" applyAlignment="1">
      <alignment horizontal="center"/>
    </xf>
    <xf numFmtId="2" fontId="9" fillId="2" borderId="5" xfId="2" applyNumberFormat="1" applyFont="1" applyFill="1" applyBorder="1" applyAlignment="1">
      <alignment horizontal="center"/>
    </xf>
    <xf numFmtId="2" fontId="9" fillId="2" borderId="15" xfId="2" applyNumberFormat="1" applyFont="1" applyFill="1" applyBorder="1" applyAlignment="1">
      <alignment horizontal="center"/>
    </xf>
    <xf numFmtId="2" fontId="9" fillId="2" borderId="16" xfId="2" applyNumberFormat="1" applyFont="1" applyFill="1" applyBorder="1" applyAlignment="1">
      <alignment horizontal="center"/>
    </xf>
    <xf numFmtId="2" fontId="9" fillId="0" borderId="19" xfId="2" applyNumberFormat="1" applyFont="1" applyBorder="1" applyAlignment="1">
      <alignment horizontal="center"/>
    </xf>
    <xf numFmtId="0" fontId="9" fillId="0" borderId="6" xfId="2" applyFont="1" applyFill="1" applyBorder="1" applyAlignment="1">
      <alignment horizontal="center"/>
    </xf>
    <xf numFmtId="0" fontId="9" fillId="0" borderId="9" xfId="2" applyFont="1" applyFill="1" applyBorder="1" applyAlignment="1">
      <alignment horizontal="center"/>
    </xf>
    <xf numFmtId="0" fontId="10" fillId="3" borderId="9" xfId="2" applyFont="1" applyFill="1" applyBorder="1" applyAlignment="1"/>
    <xf numFmtId="0" fontId="9" fillId="0" borderId="17" xfId="2" applyFont="1" applyFill="1" applyBorder="1" applyAlignment="1">
      <alignment horizontal="center"/>
    </xf>
    <xf numFmtId="0" fontId="10" fillId="3" borderId="26" xfId="2" applyFont="1" applyFill="1" applyBorder="1" applyAlignment="1"/>
    <xf numFmtId="0" fontId="10" fillId="3" borderId="2" xfId="2" applyFont="1" applyFill="1" applyBorder="1" applyAlignment="1"/>
    <xf numFmtId="0" fontId="9" fillId="0" borderId="7" xfId="2" applyFont="1" applyBorder="1" applyAlignment="1">
      <alignment horizontal="center"/>
    </xf>
    <xf numFmtId="2" fontId="9" fillId="0" borderId="7" xfId="2" applyNumberFormat="1" applyFont="1" applyBorder="1" applyAlignment="1">
      <alignment horizontal="center"/>
    </xf>
    <xf numFmtId="0" fontId="9" fillId="0" borderId="10" xfId="2" applyFont="1" applyBorder="1" applyAlignment="1">
      <alignment horizontal="center"/>
    </xf>
    <xf numFmtId="2" fontId="9" fillId="0" borderId="10" xfId="2" applyNumberFormat="1" applyFont="1" applyBorder="1" applyAlignment="1">
      <alignment horizontal="center"/>
    </xf>
    <xf numFmtId="0" fontId="9" fillId="0" borderId="18" xfId="2" applyFont="1" applyBorder="1" applyAlignment="1">
      <alignment horizontal="center"/>
    </xf>
    <xf numFmtId="2" fontId="9" fillId="0" borderId="18" xfId="2" applyNumberFormat="1" applyFont="1" applyBorder="1" applyAlignment="1">
      <alignment horizontal="center"/>
    </xf>
    <xf numFmtId="0" fontId="8" fillId="0" borderId="1" xfId="0" applyFont="1" applyBorder="1" applyAlignment="1">
      <alignment vertical="center" wrapText="1"/>
    </xf>
  </cellXfs>
  <cellStyles count="93">
    <cellStyle name="Followed Hyperlink" xfId="12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Hyperlink" xfId="11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Normal" xfId="0" builtinId="0"/>
    <cellStyle name="Normal 2" xfId="1"/>
    <cellStyle name="Normal 2 2" xfId="2"/>
    <cellStyle name="Normal 2 3" xfId="3"/>
    <cellStyle name="Normal 2 4" xfId="4"/>
    <cellStyle name="Normal 2 5" xfId="5"/>
    <cellStyle name="Normal 2 6" xfId="6"/>
    <cellStyle name="Normal 2 6 2" xfId="14"/>
    <cellStyle name="Normal 3" xfId="7"/>
    <cellStyle name="Normal 3 2" xfId="8"/>
    <cellStyle name="Normal 3 3" xfId="9"/>
    <cellStyle name="Normal 3 4" xfId="10"/>
    <cellStyle name="Normal 3 5" xfId="13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B1:FV36"/>
  <sheetViews>
    <sheetView tabSelected="1" workbookViewId="0">
      <selection activeCell="A2" sqref="A2"/>
    </sheetView>
  </sheetViews>
  <sheetFormatPr baseColWidth="10" defaultColWidth="12.5" defaultRowHeight="15" x14ac:dyDescent="0"/>
  <cols>
    <col min="1" max="1" width="4.1640625" style="12" customWidth="1"/>
    <col min="2" max="2" width="14.1640625" style="1" customWidth="1"/>
    <col min="3" max="3" width="16" style="12" customWidth="1"/>
    <col min="4" max="4" width="11.5" style="1" customWidth="1"/>
    <col min="5" max="6" width="11.33203125" style="1" customWidth="1"/>
    <col min="7" max="7" width="11.5" style="1" customWidth="1"/>
    <col min="8" max="8" width="15.5" style="1" customWidth="1"/>
    <col min="9" max="9" width="17" style="1" customWidth="1"/>
    <col min="10" max="10" width="15.33203125" style="1" customWidth="1"/>
    <col min="11" max="11" width="17" style="1" customWidth="1"/>
    <col min="12" max="13" width="12.5" style="1" customWidth="1"/>
    <col min="14" max="100" width="12.5" style="1"/>
    <col min="101" max="16384" width="12.5" style="12"/>
  </cols>
  <sheetData>
    <row r="1" spans="2:178">
      <c r="B1" s="11"/>
      <c r="C1" s="11"/>
    </row>
    <row r="2" spans="2:178" s="1" customFormat="1" ht="72" customHeight="1" thickBot="1">
      <c r="B2" s="54" t="s">
        <v>37</v>
      </c>
      <c r="C2" s="54"/>
      <c r="D2" s="54"/>
      <c r="E2" s="54"/>
      <c r="F2" s="54"/>
      <c r="G2" s="54"/>
      <c r="H2" s="54"/>
      <c r="I2" s="54"/>
      <c r="J2" s="54"/>
      <c r="K2" s="54"/>
    </row>
    <row r="3" spans="2:178" s="15" customFormat="1" ht="67" customHeight="1" thickBot="1">
      <c r="B3" s="13" t="s">
        <v>22</v>
      </c>
      <c r="C3" s="14" t="s">
        <v>23</v>
      </c>
      <c r="D3" s="2" t="s">
        <v>27</v>
      </c>
      <c r="E3" s="3" t="s">
        <v>30</v>
      </c>
      <c r="F3" s="3" t="s">
        <v>31</v>
      </c>
      <c r="G3" s="3" t="s">
        <v>32</v>
      </c>
      <c r="H3" s="3" t="s">
        <v>33</v>
      </c>
      <c r="I3" s="3" t="s">
        <v>34</v>
      </c>
      <c r="J3" s="3" t="s">
        <v>35</v>
      </c>
      <c r="K3" s="4" t="s">
        <v>36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  <c r="EY3" s="12"/>
      <c r="EZ3" s="12"/>
      <c r="FA3" s="12"/>
      <c r="FB3" s="12"/>
      <c r="FC3" s="12"/>
      <c r="FD3" s="12"/>
      <c r="FE3" s="12"/>
      <c r="FF3" s="12"/>
      <c r="FG3" s="12"/>
      <c r="FH3" s="12"/>
      <c r="FI3" s="12"/>
      <c r="FJ3" s="12"/>
      <c r="FK3" s="12"/>
      <c r="FL3" s="12"/>
      <c r="FM3" s="12"/>
      <c r="FN3" s="12"/>
      <c r="FO3" s="12"/>
      <c r="FP3" s="12"/>
      <c r="FQ3" s="12"/>
      <c r="FR3" s="12"/>
      <c r="FS3" s="12"/>
      <c r="FT3" s="12"/>
      <c r="FU3" s="12"/>
      <c r="FV3" s="12"/>
    </row>
    <row r="4" spans="2:178" ht="16" customHeight="1">
      <c r="B4" s="16" t="s">
        <v>3</v>
      </c>
      <c r="C4" s="17" t="s">
        <v>0</v>
      </c>
      <c r="D4" s="42" t="s">
        <v>28</v>
      </c>
      <c r="E4" s="5">
        <v>27014</v>
      </c>
      <c r="F4" s="5">
        <v>7444</v>
      </c>
      <c r="G4" s="5">
        <v>19570</v>
      </c>
      <c r="H4" s="48">
        <v>214</v>
      </c>
      <c r="I4" s="49">
        <v>0.464997445068983</v>
      </c>
      <c r="J4" s="48">
        <v>256</v>
      </c>
      <c r="K4" s="36">
        <v>0.64895247828308633</v>
      </c>
      <c r="CR4" s="12"/>
      <c r="CS4" s="12"/>
      <c r="CT4" s="12"/>
      <c r="CU4" s="12"/>
      <c r="CV4" s="12"/>
    </row>
    <row r="5" spans="2:178" ht="16" customHeight="1">
      <c r="B5" s="16" t="s">
        <v>4</v>
      </c>
      <c r="C5" s="18" t="s">
        <v>0</v>
      </c>
      <c r="D5" s="43" t="s">
        <v>28</v>
      </c>
      <c r="E5" s="6">
        <v>38587</v>
      </c>
      <c r="F5" s="6">
        <v>9918</v>
      </c>
      <c r="G5" s="50">
        <v>28669</v>
      </c>
      <c r="H5" s="50">
        <v>220</v>
      </c>
      <c r="I5" s="51">
        <v>0.42205866964316857</v>
      </c>
      <c r="J5" s="50">
        <v>271</v>
      </c>
      <c r="K5" s="19">
        <v>0.53367749136698173</v>
      </c>
      <c r="CR5" s="12"/>
      <c r="CS5" s="12"/>
      <c r="CT5" s="12"/>
      <c r="CU5" s="12"/>
      <c r="CV5" s="12"/>
    </row>
    <row r="6" spans="2:178" ht="16" customHeight="1">
      <c r="B6" s="16" t="s">
        <v>7</v>
      </c>
      <c r="C6" s="18" t="s">
        <v>0</v>
      </c>
      <c r="D6" s="43" t="s">
        <v>28</v>
      </c>
      <c r="E6" s="6">
        <v>56351</v>
      </c>
      <c r="F6" s="6">
        <v>12672</v>
      </c>
      <c r="G6" s="50">
        <v>43679</v>
      </c>
      <c r="H6" s="50">
        <v>541</v>
      </c>
      <c r="I6" s="51">
        <v>0.73261750497950962</v>
      </c>
      <c r="J6" s="50">
        <v>796</v>
      </c>
      <c r="K6" s="19">
        <v>1.2866594931202637</v>
      </c>
      <c r="CR6" s="12"/>
      <c r="CS6" s="12"/>
      <c r="CT6" s="12"/>
      <c r="CU6" s="12"/>
      <c r="CV6" s="12"/>
    </row>
    <row r="7" spans="2:178" ht="16" customHeight="1">
      <c r="B7" s="16" t="s">
        <v>8</v>
      </c>
      <c r="C7" s="18" t="s">
        <v>0</v>
      </c>
      <c r="D7" s="43" t="s">
        <v>28</v>
      </c>
      <c r="E7" s="6">
        <v>65084</v>
      </c>
      <c r="F7" s="6">
        <v>15619</v>
      </c>
      <c r="G7" s="50">
        <v>49465</v>
      </c>
      <c r="H7" s="50">
        <v>495</v>
      </c>
      <c r="I7" s="51">
        <v>0.68331143232588698</v>
      </c>
      <c r="J7" s="50">
        <v>649</v>
      </c>
      <c r="K7" s="19">
        <v>0.9622965733346811</v>
      </c>
      <c r="CR7" s="12"/>
      <c r="CS7" s="12"/>
      <c r="CT7" s="12"/>
      <c r="CU7" s="12"/>
      <c r="CV7" s="12"/>
    </row>
    <row r="8" spans="2:178" ht="16" customHeight="1">
      <c r="B8" s="16" t="s">
        <v>11</v>
      </c>
      <c r="C8" s="18" t="s">
        <v>0</v>
      </c>
      <c r="D8" s="43" t="s">
        <v>28</v>
      </c>
      <c r="E8" s="6">
        <v>25606</v>
      </c>
      <c r="F8" s="6">
        <v>4570</v>
      </c>
      <c r="G8" s="50">
        <v>21036</v>
      </c>
      <c r="H8" s="50">
        <v>210</v>
      </c>
      <c r="I8" s="51">
        <v>0.68929454268872414</v>
      </c>
      <c r="J8" s="50">
        <v>195</v>
      </c>
      <c r="K8" s="19">
        <v>0.6626905235255135</v>
      </c>
      <c r="CR8" s="12"/>
      <c r="CS8" s="12"/>
      <c r="CT8" s="12"/>
      <c r="CU8" s="12"/>
      <c r="CV8" s="12"/>
    </row>
    <row r="9" spans="2:178" ht="16" customHeight="1">
      <c r="B9" s="16" t="s">
        <v>13</v>
      </c>
      <c r="C9" s="18" t="s">
        <v>0</v>
      </c>
      <c r="D9" s="43" t="s">
        <v>28</v>
      </c>
      <c r="E9" s="6">
        <v>53316</v>
      </c>
      <c r="F9" s="6">
        <v>12610</v>
      </c>
      <c r="G9" s="50">
        <v>40706</v>
      </c>
      <c r="H9" s="50">
        <v>279</v>
      </c>
      <c r="I9" s="51">
        <v>0.4127155701862133</v>
      </c>
      <c r="J9" s="50">
        <v>388</v>
      </c>
      <c r="K9" s="19">
        <v>0.6018768731882278</v>
      </c>
      <c r="CR9" s="12"/>
      <c r="CS9" s="12"/>
      <c r="CT9" s="12"/>
      <c r="CU9" s="12"/>
      <c r="CV9" s="12"/>
    </row>
    <row r="10" spans="2:178" ht="16" customHeight="1">
      <c r="B10" s="16" t="s">
        <v>15</v>
      </c>
      <c r="C10" s="18" t="s">
        <v>0</v>
      </c>
      <c r="D10" s="43" t="s">
        <v>28</v>
      </c>
      <c r="E10" s="6">
        <v>53442</v>
      </c>
      <c r="F10" s="6">
        <v>12983</v>
      </c>
      <c r="G10" s="50">
        <v>40459</v>
      </c>
      <c r="H10" s="50">
        <v>349</v>
      </c>
      <c r="I10" s="51">
        <v>0.44736646975950961</v>
      </c>
      <c r="J10" s="50">
        <v>586</v>
      </c>
      <c r="K10" s="19">
        <v>0.84777181838404314</v>
      </c>
      <c r="CR10" s="12"/>
      <c r="CS10" s="12"/>
      <c r="CT10" s="12"/>
      <c r="CU10" s="12"/>
      <c r="CV10" s="12"/>
    </row>
    <row r="11" spans="2:178" ht="16" customHeight="1">
      <c r="B11" s="16" t="s">
        <v>16</v>
      </c>
      <c r="C11" s="18" t="s">
        <v>0</v>
      </c>
      <c r="D11" s="43" t="s">
        <v>28</v>
      </c>
      <c r="E11" s="6">
        <v>71176</v>
      </c>
      <c r="F11" s="6">
        <v>24888</v>
      </c>
      <c r="G11" s="50">
        <v>46288</v>
      </c>
      <c r="H11" s="50">
        <v>810</v>
      </c>
      <c r="I11" s="51">
        <v>1.0499481507086068</v>
      </c>
      <c r="J11" s="50">
        <v>1065</v>
      </c>
      <c r="K11" s="19">
        <v>1.391289319045973</v>
      </c>
      <c r="CR11" s="12"/>
      <c r="CS11" s="12"/>
      <c r="CT11" s="12"/>
      <c r="CU11" s="12"/>
      <c r="CV11" s="12"/>
    </row>
    <row r="12" spans="2:178" ht="16" customHeight="1">
      <c r="B12" s="16" t="s">
        <v>17</v>
      </c>
      <c r="C12" s="18" t="s">
        <v>0</v>
      </c>
      <c r="D12" s="43" t="s">
        <v>28</v>
      </c>
      <c r="E12" s="6">
        <v>71032</v>
      </c>
      <c r="F12" s="6">
        <v>21600</v>
      </c>
      <c r="G12" s="50">
        <v>49432</v>
      </c>
      <c r="H12" s="50">
        <v>735</v>
      </c>
      <c r="I12" s="51">
        <v>0.66960673248098401</v>
      </c>
      <c r="J12" s="50">
        <v>828</v>
      </c>
      <c r="K12" s="19">
        <v>0.8083047772626486</v>
      </c>
      <c r="CR12" s="12"/>
      <c r="CS12" s="12"/>
      <c r="CT12" s="12"/>
      <c r="CU12" s="12"/>
      <c r="CV12" s="12"/>
    </row>
    <row r="13" spans="2:178" ht="16" customHeight="1">
      <c r="B13" s="16" t="s">
        <v>19</v>
      </c>
      <c r="C13" s="18" t="s">
        <v>0</v>
      </c>
      <c r="D13" s="43" t="s">
        <v>28</v>
      </c>
      <c r="E13" s="6">
        <v>58447</v>
      </c>
      <c r="F13" s="6">
        <v>15106</v>
      </c>
      <c r="G13" s="50">
        <v>43341</v>
      </c>
      <c r="H13" s="50">
        <v>507</v>
      </c>
      <c r="I13" s="51">
        <v>0.59758658083569838</v>
      </c>
      <c r="J13" s="50">
        <v>529</v>
      </c>
      <c r="K13" s="19">
        <v>0.6960449893979902</v>
      </c>
      <c r="CR13" s="12"/>
      <c r="CS13" s="12"/>
      <c r="CT13" s="12"/>
      <c r="CU13" s="12"/>
      <c r="CV13" s="12"/>
    </row>
    <row r="14" spans="2:178" ht="16" customHeight="1">
      <c r="B14" s="20" t="s">
        <v>24</v>
      </c>
      <c r="C14" s="21"/>
      <c r="D14" s="44"/>
      <c r="E14" s="7">
        <f t="shared" ref="E14:K14" si="0">AVERAGE(E4:E13)</f>
        <v>52005.5</v>
      </c>
      <c r="F14" s="7">
        <f t="shared" si="0"/>
        <v>13741</v>
      </c>
      <c r="G14" s="7">
        <f t="shared" si="0"/>
        <v>38264.5</v>
      </c>
      <c r="H14" s="7">
        <f t="shared" si="0"/>
        <v>436</v>
      </c>
      <c r="I14" s="37">
        <f t="shared" si="0"/>
        <v>0.61695030986772847</v>
      </c>
      <c r="J14" s="7">
        <f t="shared" si="0"/>
        <v>556.29999999999995</v>
      </c>
      <c r="K14" s="38">
        <f t="shared" si="0"/>
        <v>0.84395643369094098</v>
      </c>
      <c r="CR14" s="12"/>
      <c r="CS14" s="12"/>
      <c r="CT14" s="12"/>
      <c r="CU14" s="12"/>
      <c r="CV14" s="12"/>
    </row>
    <row r="15" spans="2:178" ht="16" customHeight="1">
      <c r="B15" s="20" t="s">
        <v>25</v>
      </c>
      <c r="C15" s="21"/>
      <c r="D15" s="44"/>
      <c r="E15" s="7">
        <f t="shared" ref="E15:K15" si="1">STDEVA(E4:E13)</f>
        <v>16553.901804240726</v>
      </c>
      <c r="F15" s="7">
        <f t="shared" si="1"/>
        <v>6080.7607711170112</v>
      </c>
      <c r="G15" s="7">
        <f t="shared" si="1"/>
        <v>11149.411476745208</v>
      </c>
      <c r="H15" s="7">
        <f t="shared" si="1"/>
        <v>218.08713854787493</v>
      </c>
      <c r="I15" s="37">
        <f t="shared" si="1"/>
        <v>0.19584407116867719</v>
      </c>
      <c r="J15" s="7">
        <f t="shared" si="1"/>
        <v>284.93899931973743</v>
      </c>
      <c r="K15" s="38">
        <f t="shared" si="1"/>
        <v>0.29030376360422155</v>
      </c>
      <c r="CR15" s="12"/>
      <c r="CS15" s="12"/>
      <c r="CT15" s="12"/>
      <c r="CU15" s="12"/>
      <c r="CV15" s="12"/>
    </row>
    <row r="16" spans="2:178" s="24" customFormat="1" ht="16" customHeight="1" thickBot="1">
      <c r="B16" s="22" t="s">
        <v>26</v>
      </c>
      <c r="C16" s="23"/>
      <c r="D16" s="44"/>
      <c r="E16" s="8">
        <f t="shared" ref="E16:K16" si="2">E15/(SQRT(10))</f>
        <v>5234.8033864171475</v>
      </c>
      <c r="F16" s="8">
        <f t="shared" si="2"/>
        <v>1922.9053943331571</v>
      </c>
      <c r="G16" s="8">
        <f t="shared" si="2"/>
        <v>3525.7534836936311</v>
      </c>
      <c r="H16" s="8">
        <f t="shared" si="2"/>
        <v>68.965208619999103</v>
      </c>
      <c r="I16" s="39">
        <f t="shared" si="2"/>
        <v>6.1931333113313405E-2</v>
      </c>
      <c r="J16" s="8">
        <f t="shared" si="2"/>
        <v>90.105623205953862</v>
      </c>
      <c r="K16" s="40">
        <f t="shared" si="2"/>
        <v>9.1802110630843203E-2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2"/>
      <c r="CS16" s="12"/>
      <c r="CT16" s="12"/>
      <c r="CU16" s="12"/>
      <c r="CV16" s="12"/>
      <c r="CW16" s="12"/>
      <c r="CX16" s="12"/>
      <c r="CY16" s="12"/>
      <c r="CZ16" s="12"/>
      <c r="DA16" s="12"/>
      <c r="DB16" s="12"/>
      <c r="DC16" s="12"/>
      <c r="DD16" s="12"/>
      <c r="DE16" s="12"/>
      <c r="DF16" s="12"/>
      <c r="DG16" s="12"/>
      <c r="DH16" s="12"/>
      <c r="DI16" s="12"/>
      <c r="DJ16" s="12"/>
      <c r="DK16" s="12"/>
      <c r="DL16" s="12"/>
      <c r="DM16" s="12"/>
      <c r="DN16" s="12"/>
      <c r="DO16" s="12"/>
      <c r="DP16" s="12"/>
      <c r="DQ16" s="12"/>
      <c r="DR16" s="12"/>
      <c r="DS16" s="12"/>
      <c r="DT16" s="12"/>
      <c r="DU16" s="12"/>
      <c r="DV16" s="12"/>
      <c r="DW16" s="12"/>
      <c r="DX16" s="12"/>
      <c r="DY16" s="12"/>
      <c r="DZ16" s="12"/>
      <c r="EA16" s="12"/>
      <c r="EB16" s="12"/>
      <c r="EC16" s="12"/>
      <c r="ED16" s="12"/>
      <c r="EE16" s="12"/>
      <c r="EF16" s="12"/>
      <c r="EG16" s="12"/>
      <c r="EH16" s="12"/>
      <c r="EI16" s="12"/>
      <c r="EJ16" s="12"/>
      <c r="EK16" s="12"/>
      <c r="EL16" s="12"/>
      <c r="EM16" s="12"/>
      <c r="EN16" s="12"/>
      <c r="EO16" s="12"/>
      <c r="EP16" s="12"/>
      <c r="EQ16" s="12"/>
      <c r="ER16" s="12"/>
      <c r="ES16" s="12"/>
      <c r="ET16" s="12"/>
      <c r="EU16" s="12"/>
      <c r="EV16" s="12"/>
      <c r="EW16" s="12"/>
      <c r="EX16" s="12"/>
      <c r="EY16" s="12"/>
      <c r="EZ16" s="12"/>
      <c r="FA16" s="12"/>
      <c r="FB16" s="12"/>
      <c r="FC16" s="12"/>
      <c r="FD16" s="12"/>
      <c r="FE16" s="12"/>
      <c r="FF16" s="12"/>
      <c r="FG16" s="12"/>
      <c r="FH16" s="12"/>
      <c r="FI16" s="12"/>
      <c r="FJ16" s="12"/>
      <c r="FK16" s="12"/>
      <c r="FL16" s="12"/>
      <c r="FM16" s="12"/>
      <c r="FN16" s="12"/>
      <c r="FO16" s="12"/>
      <c r="FP16" s="12"/>
      <c r="FQ16" s="12"/>
      <c r="FR16" s="12"/>
      <c r="FS16" s="12"/>
      <c r="FT16" s="12"/>
      <c r="FU16" s="12"/>
      <c r="FV16" s="12"/>
    </row>
    <row r="17" spans="2:178" ht="16" customHeight="1" thickTop="1">
      <c r="B17" s="16" t="s">
        <v>2</v>
      </c>
      <c r="C17" s="25" t="s">
        <v>1</v>
      </c>
      <c r="D17" s="45" t="s">
        <v>28</v>
      </c>
      <c r="E17" s="9">
        <v>24603</v>
      </c>
      <c r="F17" s="9">
        <v>6286</v>
      </c>
      <c r="G17" s="9">
        <v>18317</v>
      </c>
      <c r="H17" s="52">
        <v>230</v>
      </c>
      <c r="I17" s="53">
        <v>0.76977671015996063</v>
      </c>
      <c r="J17" s="52">
        <v>387</v>
      </c>
      <c r="K17" s="41">
        <v>1.2993394114756784</v>
      </c>
      <c r="CR17" s="12"/>
      <c r="CS17" s="12"/>
      <c r="CT17" s="12"/>
      <c r="CU17" s="12"/>
      <c r="CV17" s="12"/>
    </row>
    <row r="18" spans="2:178" ht="16" customHeight="1">
      <c r="B18" s="16" t="s">
        <v>5</v>
      </c>
      <c r="C18" s="18" t="s">
        <v>1</v>
      </c>
      <c r="D18" s="43" t="s">
        <v>28</v>
      </c>
      <c r="E18" s="6">
        <v>72961</v>
      </c>
      <c r="F18" s="6">
        <v>26060</v>
      </c>
      <c r="G18" s="50">
        <v>46901</v>
      </c>
      <c r="H18" s="50">
        <v>958</v>
      </c>
      <c r="I18" s="51">
        <v>1.0213001854971109</v>
      </c>
      <c r="J18" s="50">
        <v>1204</v>
      </c>
      <c r="K18" s="19">
        <v>1.3539156947613058</v>
      </c>
      <c r="CR18" s="12"/>
      <c r="CS18" s="12"/>
      <c r="CT18" s="12"/>
      <c r="CU18" s="12"/>
      <c r="CV18" s="12"/>
    </row>
    <row r="19" spans="2:178" ht="16" customHeight="1">
      <c r="B19" s="16" t="s">
        <v>6</v>
      </c>
      <c r="C19" s="18" t="s">
        <v>1</v>
      </c>
      <c r="D19" s="43" t="s">
        <v>28</v>
      </c>
      <c r="E19" s="6">
        <v>23423</v>
      </c>
      <c r="F19" s="6">
        <v>7117</v>
      </c>
      <c r="G19" s="50">
        <v>16306</v>
      </c>
      <c r="H19" s="50">
        <v>216</v>
      </c>
      <c r="I19" s="51">
        <v>0.41702440819330305</v>
      </c>
      <c r="J19" s="50">
        <v>308</v>
      </c>
      <c r="K19" s="19">
        <v>0.92603949466454061</v>
      </c>
      <c r="CR19" s="12"/>
      <c r="CS19" s="12"/>
      <c r="CT19" s="12"/>
      <c r="CU19" s="12"/>
      <c r="CV19" s="12"/>
    </row>
    <row r="20" spans="2:178" ht="16" customHeight="1">
      <c r="B20" s="16" t="s">
        <v>9</v>
      </c>
      <c r="C20" s="18" t="s">
        <v>1</v>
      </c>
      <c r="D20" s="43" t="s">
        <v>28</v>
      </c>
      <c r="E20" s="6">
        <v>58594</v>
      </c>
      <c r="F20" s="6">
        <v>20523</v>
      </c>
      <c r="G20" s="50">
        <v>38071</v>
      </c>
      <c r="H20" s="50">
        <v>699</v>
      </c>
      <c r="I20" s="51">
        <v>0.76173465367339976</v>
      </c>
      <c r="J20" s="50">
        <v>952</v>
      </c>
      <c r="K20" s="19">
        <v>1.1793753775839877</v>
      </c>
      <c r="CR20" s="12"/>
      <c r="CS20" s="12"/>
      <c r="CT20" s="12"/>
      <c r="CU20" s="12"/>
      <c r="CV20" s="12"/>
    </row>
    <row r="21" spans="2:178" ht="16" customHeight="1">
      <c r="B21" s="16" t="s">
        <v>10</v>
      </c>
      <c r="C21" s="18" t="s">
        <v>1</v>
      </c>
      <c r="D21" s="43" t="s">
        <v>28</v>
      </c>
      <c r="E21" s="6">
        <v>46922</v>
      </c>
      <c r="F21" s="6">
        <v>17931</v>
      </c>
      <c r="G21" s="50">
        <v>28991</v>
      </c>
      <c r="H21" s="50">
        <v>591</v>
      </c>
      <c r="I21" s="51">
        <v>0.94857024593839467</v>
      </c>
      <c r="J21" s="50">
        <v>920</v>
      </c>
      <c r="K21" s="19">
        <v>1.8626470283881207</v>
      </c>
      <c r="CR21" s="12"/>
      <c r="CS21" s="12"/>
      <c r="CT21" s="12"/>
      <c r="CU21" s="12"/>
      <c r="CV21" s="12"/>
    </row>
    <row r="22" spans="2:178" ht="16" customHeight="1">
      <c r="B22" s="16" t="s">
        <v>12</v>
      </c>
      <c r="C22" s="18" t="s">
        <v>1</v>
      </c>
      <c r="D22" s="43" t="s">
        <v>28</v>
      </c>
      <c r="E22" s="6">
        <v>57701</v>
      </c>
      <c r="F22" s="6">
        <v>21238</v>
      </c>
      <c r="G22" s="50">
        <v>36463</v>
      </c>
      <c r="H22" s="50">
        <v>614</v>
      </c>
      <c r="I22" s="51">
        <v>0.61157886076296519</v>
      </c>
      <c r="J22" s="50">
        <v>818</v>
      </c>
      <c r="K22" s="19">
        <v>0.94342209911417052</v>
      </c>
      <c r="CR22" s="12"/>
      <c r="CS22" s="12"/>
      <c r="CT22" s="12"/>
      <c r="CU22" s="12"/>
      <c r="CV22" s="12"/>
    </row>
    <row r="23" spans="2:178" ht="16" customHeight="1">
      <c r="B23" s="16" t="s">
        <v>14</v>
      </c>
      <c r="C23" s="18" t="s">
        <v>1</v>
      </c>
      <c r="D23" s="43" t="s">
        <v>28</v>
      </c>
      <c r="E23" s="6">
        <v>68079</v>
      </c>
      <c r="F23" s="6">
        <v>16210</v>
      </c>
      <c r="G23" s="50">
        <v>51869</v>
      </c>
      <c r="H23" s="50">
        <v>743</v>
      </c>
      <c r="I23" s="51">
        <v>0.63236229732595584</v>
      </c>
      <c r="J23" s="50">
        <v>910</v>
      </c>
      <c r="K23" s="19">
        <v>0.97167865198866366</v>
      </c>
      <c r="CR23" s="12"/>
      <c r="CS23" s="12"/>
      <c r="CT23" s="12"/>
      <c r="CU23" s="12"/>
      <c r="CV23" s="12"/>
    </row>
    <row r="24" spans="2:178" ht="16" customHeight="1">
      <c r="B24" s="16" t="s">
        <v>18</v>
      </c>
      <c r="C24" s="18" t="s">
        <v>1</v>
      </c>
      <c r="D24" s="43" t="s">
        <v>28</v>
      </c>
      <c r="E24" s="6">
        <v>73867</v>
      </c>
      <c r="F24" s="6">
        <v>25315</v>
      </c>
      <c r="G24" s="50">
        <v>48552</v>
      </c>
      <c r="H24" s="50">
        <v>1082</v>
      </c>
      <c r="I24" s="51">
        <v>0.92890097215356726</v>
      </c>
      <c r="J24" s="50">
        <v>1262</v>
      </c>
      <c r="K24" s="19">
        <v>1.2275498434667984</v>
      </c>
      <c r="CR24" s="12"/>
      <c r="CS24" s="12"/>
      <c r="CT24" s="12"/>
      <c r="CU24" s="12"/>
      <c r="CV24" s="12"/>
    </row>
    <row r="25" spans="2:178" ht="16" customHeight="1">
      <c r="B25" s="16" t="s">
        <v>20</v>
      </c>
      <c r="C25" s="18" t="s">
        <v>1</v>
      </c>
      <c r="D25" s="43" t="s">
        <v>28</v>
      </c>
      <c r="E25" s="6">
        <v>73268</v>
      </c>
      <c r="F25" s="6">
        <v>23412</v>
      </c>
      <c r="G25" s="50">
        <v>49856</v>
      </c>
      <c r="H25" s="50">
        <v>795</v>
      </c>
      <c r="I25" s="51">
        <v>0.70001604621309366</v>
      </c>
      <c r="J25" s="50">
        <v>1087</v>
      </c>
      <c r="K25" s="19">
        <v>1.158123839380204</v>
      </c>
      <c r="CR25" s="12"/>
      <c r="CS25" s="12"/>
      <c r="CT25" s="12"/>
      <c r="CU25" s="12"/>
      <c r="CV25" s="12"/>
    </row>
    <row r="26" spans="2:178" ht="16" customHeight="1">
      <c r="B26" s="16" t="s">
        <v>21</v>
      </c>
      <c r="C26" s="18" t="s">
        <v>1</v>
      </c>
      <c r="D26" s="43" t="s">
        <v>28</v>
      </c>
      <c r="E26" s="6">
        <v>75222</v>
      </c>
      <c r="F26" s="6">
        <v>19631</v>
      </c>
      <c r="G26" s="50">
        <v>55591</v>
      </c>
      <c r="H26" s="50">
        <v>868</v>
      </c>
      <c r="I26" s="51">
        <v>0.77890305984781716</v>
      </c>
      <c r="J26" s="50">
        <v>1070</v>
      </c>
      <c r="K26" s="19">
        <v>1.068518285333957</v>
      </c>
      <c r="CR26" s="12"/>
      <c r="CS26" s="12"/>
      <c r="CT26" s="12"/>
      <c r="CU26" s="12"/>
      <c r="CV26" s="12"/>
    </row>
    <row r="27" spans="2:178" ht="16" customHeight="1">
      <c r="B27" s="20" t="s">
        <v>24</v>
      </c>
      <c r="C27" s="21"/>
      <c r="D27" s="44"/>
      <c r="E27" s="7">
        <f t="shared" ref="E27:K27" si="3">AVERAGE(E17:E26)</f>
        <v>57464</v>
      </c>
      <c r="F27" s="7">
        <f t="shared" si="3"/>
        <v>18372.3</v>
      </c>
      <c r="G27" s="7">
        <f t="shared" si="3"/>
        <v>39091.699999999997</v>
      </c>
      <c r="H27" s="7">
        <f t="shared" si="3"/>
        <v>679.6</v>
      </c>
      <c r="I27" s="37">
        <f t="shared" si="3"/>
        <v>0.75701674397655672</v>
      </c>
      <c r="J27" s="7">
        <f t="shared" si="3"/>
        <v>891.8</v>
      </c>
      <c r="K27" s="38">
        <f t="shared" si="3"/>
        <v>1.1990609726157426</v>
      </c>
      <c r="CR27" s="12"/>
      <c r="CS27" s="12"/>
      <c r="CT27" s="12"/>
      <c r="CU27" s="12"/>
      <c r="CV27" s="12"/>
    </row>
    <row r="28" spans="2:178" ht="16" customHeight="1">
      <c r="B28" s="20" t="s">
        <v>25</v>
      </c>
      <c r="C28" s="21"/>
      <c r="D28" s="44"/>
      <c r="E28" s="7">
        <f t="shared" ref="E28:K28" si="4">STDEVA(E17:E26)</f>
        <v>19827.333708797054</v>
      </c>
      <c r="F28" s="7">
        <f t="shared" si="4"/>
        <v>6869.8469665957209</v>
      </c>
      <c r="G28" s="7">
        <f t="shared" si="4"/>
        <v>13994.408447265248</v>
      </c>
      <c r="H28" s="7">
        <f t="shared" si="4"/>
        <v>283.20750147001564</v>
      </c>
      <c r="I28" s="37">
        <f t="shared" si="4"/>
        <v>0.18021022679804255</v>
      </c>
      <c r="J28" s="7">
        <f t="shared" si="4"/>
        <v>318.01774932995301</v>
      </c>
      <c r="K28" s="38">
        <f t="shared" si="4"/>
        <v>0.27606224438671861</v>
      </c>
      <c r="CR28" s="12"/>
      <c r="CS28" s="12"/>
      <c r="CT28" s="12"/>
      <c r="CU28" s="12"/>
      <c r="CV28" s="12"/>
    </row>
    <row r="29" spans="2:178" s="24" customFormat="1" ht="16" customHeight="1" thickBot="1">
      <c r="B29" s="26" t="s">
        <v>26</v>
      </c>
      <c r="C29" s="27"/>
      <c r="D29" s="46"/>
      <c r="E29" s="10">
        <f t="shared" ref="E29:K29" si="5">E28/(SQRT(10))</f>
        <v>6269.9534448032382</v>
      </c>
      <c r="F29" s="10">
        <f t="shared" si="5"/>
        <v>2172.4363591241154</v>
      </c>
      <c r="G29" s="10">
        <f t="shared" si="5"/>
        <v>4425.420520005855</v>
      </c>
      <c r="H29" s="10">
        <f t="shared" si="5"/>
        <v>89.55807550907339</v>
      </c>
      <c r="I29" s="30">
        <f t="shared" si="5"/>
        <v>5.698747743373269E-2</v>
      </c>
      <c r="J29" s="10">
        <f t="shared" si="5"/>
        <v>100.56604242431379</v>
      </c>
      <c r="K29" s="31">
        <f t="shared" si="5"/>
        <v>8.7298546824006382E-2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2"/>
      <c r="CS29" s="12"/>
      <c r="CT29" s="12"/>
      <c r="CU29" s="12"/>
      <c r="CV29" s="12"/>
      <c r="CW29" s="12"/>
      <c r="CX29" s="12"/>
      <c r="CY29" s="12"/>
      <c r="CZ29" s="12"/>
      <c r="DA29" s="12"/>
      <c r="DB29" s="12"/>
      <c r="DC29" s="12"/>
      <c r="DD29" s="12"/>
      <c r="DE29" s="12"/>
      <c r="DF29" s="12"/>
      <c r="DG29" s="12"/>
      <c r="DH29" s="12"/>
      <c r="DI29" s="12"/>
      <c r="DJ29" s="12"/>
      <c r="DK29" s="12"/>
      <c r="DL29" s="12"/>
      <c r="DM29" s="12"/>
      <c r="DN29" s="12"/>
      <c r="DO29" s="12"/>
      <c r="DP29" s="12"/>
      <c r="DQ29" s="12"/>
      <c r="DR29" s="12"/>
      <c r="DS29" s="12"/>
      <c r="DT29" s="12"/>
      <c r="DU29" s="12"/>
      <c r="DV29" s="12"/>
      <c r="DW29" s="12"/>
      <c r="DX29" s="12"/>
      <c r="DY29" s="12"/>
      <c r="DZ29" s="12"/>
      <c r="EA29" s="12"/>
      <c r="EB29" s="12"/>
      <c r="EC29" s="12"/>
      <c r="ED29" s="12"/>
      <c r="EE29" s="12"/>
      <c r="EF29" s="12"/>
      <c r="EG29" s="12"/>
      <c r="EH29" s="12"/>
      <c r="EI29" s="12"/>
      <c r="EJ29" s="12"/>
      <c r="EK29" s="12"/>
      <c r="EL29" s="12"/>
      <c r="EM29" s="12"/>
      <c r="EN29" s="12"/>
      <c r="EO29" s="12"/>
      <c r="EP29" s="12"/>
      <c r="EQ29" s="12"/>
      <c r="ER29" s="12"/>
      <c r="ES29" s="12"/>
      <c r="ET29" s="12"/>
      <c r="EU29" s="12"/>
      <c r="EV29" s="12"/>
      <c r="EW29" s="12"/>
      <c r="EX29" s="12"/>
      <c r="EY29" s="12"/>
      <c r="EZ29" s="12"/>
      <c r="FA29" s="12"/>
      <c r="FB29" s="12"/>
      <c r="FC29" s="12"/>
      <c r="FD29" s="12"/>
      <c r="FE29" s="12"/>
      <c r="FF29" s="12"/>
      <c r="FG29" s="12"/>
      <c r="FH29" s="12"/>
      <c r="FI29" s="12"/>
      <c r="FJ29" s="12"/>
      <c r="FK29" s="12"/>
      <c r="FL29" s="12"/>
      <c r="FM29" s="12"/>
      <c r="FN29" s="12"/>
      <c r="FO29" s="12"/>
      <c r="FP29" s="12"/>
      <c r="FQ29" s="12"/>
      <c r="FR29" s="12"/>
      <c r="FS29" s="12"/>
      <c r="FT29" s="12"/>
      <c r="FU29" s="12"/>
      <c r="FV29" s="12"/>
    </row>
    <row r="30" spans="2:178" ht="16" thickBot="1">
      <c r="B30" s="28" t="s">
        <v>29</v>
      </c>
      <c r="C30" s="29"/>
      <c r="D30" s="47"/>
      <c r="E30" s="30">
        <f t="shared" ref="E30:K30" si="6">TTEST(E4:E13,E17:E26,2,3)</f>
        <v>0.51269977548899948</v>
      </c>
      <c r="F30" s="30">
        <f t="shared" si="6"/>
        <v>0.12807569313883874</v>
      </c>
      <c r="G30" s="30">
        <f t="shared" si="6"/>
        <v>0.88547289188329537</v>
      </c>
      <c r="H30" s="30">
        <f t="shared" si="6"/>
        <v>4.5875409211779218E-2</v>
      </c>
      <c r="I30" s="30">
        <f t="shared" si="6"/>
        <v>0.11348807674794414</v>
      </c>
      <c r="J30" s="30">
        <f t="shared" si="6"/>
        <v>2.3161191810432271E-2</v>
      </c>
      <c r="K30" s="31">
        <f t="shared" si="6"/>
        <v>1.1778542584327584E-2</v>
      </c>
    </row>
    <row r="31" spans="2:178">
      <c r="D31" s="32"/>
    </row>
    <row r="32" spans="2:178">
      <c r="D32" s="33"/>
    </row>
    <row r="33" spans="2:10">
      <c r="B33" s="34"/>
      <c r="C33" s="34"/>
      <c r="D33" s="34"/>
      <c r="E33" s="34"/>
      <c r="F33" s="34"/>
      <c r="G33" s="34"/>
      <c r="H33" s="34"/>
      <c r="I33" s="34"/>
      <c r="J33" s="34"/>
    </row>
    <row r="36" spans="2:10">
      <c r="B36" s="35"/>
    </row>
  </sheetData>
  <mergeCells count="1">
    <mergeCell ref="B2:K2"/>
  </mergeCells>
  <pageMargins left="0.75" right="0.75" top="0.5" bottom="0" header="0" footer="0"/>
  <pageSetup scale="38" orientation="portrait" horizontalDpi="4294967292" verticalDpi="4294967292"/>
  <headerFooter>
    <oddFooter>&amp;R&amp;"Arial,Regular"&amp;16&amp;K808080&amp;[37</oddFooter>
  </headerFooter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 Table 8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Cox</dc:creator>
  <cp:lastModifiedBy>Aaron Cox</cp:lastModifiedBy>
  <dcterms:created xsi:type="dcterms:W3CDTF">2015-11-02T23:26:35Z</dcterms:created>
  <dcterms:modified xsi:type="dcterms:W3CDTF">2016-04-24T14:40:46Z</dcterms:modified>
</cp:coreProperties>
</file>