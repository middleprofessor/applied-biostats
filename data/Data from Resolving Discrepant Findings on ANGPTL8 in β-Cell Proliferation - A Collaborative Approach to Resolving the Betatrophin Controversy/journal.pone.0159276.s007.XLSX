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6819"/>
  <workbookPr showInkAnnotation="0" autoCompressPictures="0"/>
  <bookViews>
    <workbookView xWindow="0" yWindow="0" windowWidth="25600" windowHeight="16060" tabRatio="659"/>
  </bookViews>
  <sheets>
    <sheet name="Suppl Table 7" sheetId="6" r:id="rId1"/>
  </sheets>
  <definedNames>
    <definedName name="_xlnm.Print_Area" localSheetId="0">'Suppl Table 7'!$B$3:$G$25</definedName>
  </definedNames>
  <calcPr calcId="140000" concurrentCalc="0"/>
  <extLst>
    <ext xmlns:mx="http://schemas.microsoft.com/office/mac/excel/2008/main" uri="{7523E5D3-25F3-A5E0-1632-64F254C22452}">
      <mx:ArchID Flags="2"/>
    </ext>
  </extLst>
</workbook>
</file>

<file path=xl/calcChain.xml><?xml version="1.0" encoding="utf-8"?>
<calcChain xmlns="http://schemas.openxmlformats.org/spreadsheetml/2006/main">
  <c r="G30" i="6" l="1"/>
  <c r="F30" i="6"/>
  <c r="E30" i="6"/>
  <c r="G28" i="6"/>
  <c r="G29" i="6"/>
  <c r="F28" i="6"/>
  <c r="F29" i="6"/>
  <c r="E28" i="6"/>
  <c r="E29" i="6"/>
  <c r="G27" i="6"/>
  <c r="F27" i="6"/>
  <c r="E27" i="6"/>
  <c r="G15" i="6"/>
  <c r="G16" i="6"/>
  <c r="F15" i="6"/>
  <c r="F16" i="6"/>
  <c r="E15" i="6"/>
  <c r="E16" i="6"/>
  <c r="G14" i="6"/>
  <c r="F14" i="6"/>
  <c r="E14" i="6"/>
</calcChain>
</file>

<file path=xl/sharedStrings.xml><?xml version="1.0" encoding="utf-8"?>
<sst xmlns="http://schemas.openxmlformats.org/spreadsheetml/2006/main" count="74" uniqueCount="34">
  <si>
    <t>MBP</t>
  </si>
  <si>
    <t>MBP+hBT</t>
  </si>
  <si>
    <t>CM7720</t>
  </si>
  <si>
    <t>CM7721</t>
  </si>
  <si>
    <t>CM7722</t>
  </si>
  <si>
    <t>CM7723</t>
  </si>
  <si>
    <t>CM7724</t>
  </si>
  <si>
    <t>CM7725</t>
  </si>
  <si>
    <t>CM7726</t>
  </si>
  <si>
    <t>CM7727</t>
  </si>
  <si>
    <t>CM7728</t>
  </si>
  <si>
    <t>CM7729</t>
  </si>
  <si>
    <t>CM7730</t>
  </si>
  <si>
    <t>CM7731</t>
  </si>
  <si>
    <t>CM7732</t>
  </si>
  <si>
    <t>CM7733</t>
  </si>
  <si>
    <t>CM7734</t>
  </si>
  <si>
    <t>CM7735</t>
  </si>
  <si>
    <t>CM7736</t>
  </si>
  <si>
    <t>CM7737</t>
  </si>
  <si>
    <t>CM7738</t>
  </si>
  <si>
    <t>CM7739</t>
  </si>
  <si>
    <t>Animal ID#</t>
  </si>
  <si>
    <t>Treatment</t>
  </si>
  <si>
    <t>Average</t>
  </si>
  <si>
    <t>Standard Deviation</t>
  </si>
  <si>
    <t>Standard Error</t>
  </si>
  <si>
    <t>Slide #</t>
  </si>
  <si>
    <t>1, 4</t>
  </si>
  <si>
    <r>
      <t>p</t>
    </r>
    <r>
      <rPr>
        <b/>
        <sz val="12"/>
        <rFont val="Arial"/>
      </rPr>
      <t xml:space="preserve"> value (t-test)</t>
    </r>
  </si>
  <si>
    <t>Total DAPI+ Islet Cells</t>
  </si>
  <si>
    <t>Ki67+ DAPI+ Islet Cells</t>
  </si>
  <si>
    <t>Ki67+ DAPI+ Islet Cells (% Total DAPI+ Islet Cells)</t>
  </si>
  <si>
    <r>
      <t xml:space="preserve">Supplemental Table 7. Individual data for islet cell Ki67 proliferation based on stained slides described in Figure 3. </t>
    </r>
    <r>
      <rPr>
        <sz val="12"/>
        <color theme="1"/>
        <rFont val="Arial"/>
      </rPr>
      <t>Measurements were recorded from 10-week-old CD1 male mice injected with maltose binding protein (MBP; control) or MBP-human betatrophin (hBT) fusion protein for two days and sacrificed on day three. Islet cells were identified by dilating the insulin area by one cell’s diameter and then filling all holes within the region of the object. Quantification of total Ki67 proliferation (% of total DAPI+ islet cells).</t>
    </r>
  </si>
</sst>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6" formatCode="0.0000"/>
    <numFmt numFmtId="167" formatCode="0.000000"/>
  </numFmts>
  <fonts count="13" x14ac:knownFonts="1">
    <font>
      <sz val="12"/>
      <color theme="1"/>
      <name val="Calibri"/>
      <family val="2"/>
      <scheme val="minor"/>
    </font>
    <font>
      <sz val="12"/>
      <color theme="1"/>
      <name val="Calibri"/>
      <family val="2"/>
      <scheme val="minor"/>
    </font>
    <font>
      <sz val="12"/>
      <color theme="1"/>
      <name val="Calibri"/>
      <family val="2"/>
      <scheme val="minor"/>
    </font>
    <font>
      <sz val="10"/>
      <name val="Verdana"/>
      <family val="2"/>
    </font>
    <font>
      <sz val="11"/>
      <color theme="1"/>
      <name val="Calibri"/>
      <family val="2"/>
      <scheme val="minor"/>
    </font>
    <font>
      <u/>
      <sz val="12"/>
      <color theme="10"/>
      <name val="Calibri"/>
      <family val="2"/>
      <scheme val="minor"/>
    </font>
    <font>
      <u/>
      <sz val="12"/>
      <color theme="11"/>
      <name val="Calibri"/>
      <family val="2"/>
      <scheme val="minor"/>
    </font>
    <font>
      <sz val="12"/>
      <color theme="1"/>
      <name val="Arial"/>
    </font>
    <font>
      <b/>
      <sz val="12"/>
      <color theme="1"/>
      <name val="Arial"/>
    </font>
    <font>
      <sz val="12"/>
      <name val="Arial"/>
    </font>
    <font>
      <b/>
      <sz val="12"/>
      <name val="Arial"/>
    </font>
    <font>
      <b/>
      <i/>
      <sz val="12"/>
      <name val="Arial"/>
    </font>
    <font>
      <b/>
      <sz val="11.5"/>
      <color theme="1"/>
      <name val="Arial"/>
    </font>
  </fonts>
  <fills count="4">
    <fill>
      <patternFill patternType="none"/>
    </fill>
    <fill>
      <patternFill patternType="gray125"/>
    </fill>
    <fill>
      <patternFill patternType="solid">
        <fgColor theme="0" tint="-0.14999847407452621"/>
        <bgColor indexed="64"/>
      </patternFill>
    </fill>
    <fill>
      <patternFill patternType="lightUp"/>
    </fill>
  </fills>
  <borders count="28">
    <border>
      <left/>
      <right/>
      <top/>
      <bottom/>
      <diagonal/>
    </border>
    <border>
      <left/>
      <right/>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medium">
        <color auto="1"/>
      </left>
      <right/>
      <top style="thin">
        <color auto="1"/>
      </top>
      <bottom style="double">
        <color auto="1"/>
      </bottom>
      <diagonal/>
    </border>
    <border>
      <left/>
      <right/>
      <top style="thin">
        <color auto="1"/>
      </top>
      <bottom style="double">
        <color auto="1"/>
      </bottom>
      <diagonal/>
    </border>
    <border>
      <left style="medium">
        <color auto="1"/>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medium">
        <color auto="1"/>
      </right>
      <top style="thin">
        <color auto="1"/>
      </top>
      <bottom style="double">
        <color auto="1"/>
      </bottom>
      <diagonal/>
    </border>
    <border>
      <left style="medium">
        <color auto="1"/>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thin">
        <color auto="1"/>
      </left>
      <right style="medium">
        <color auto="1"/>
      </right>
      <top style="double">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thin">
        <color auto="1"/>
      </top>
      <bottom/>
      <diagonal/>
    </border>
  </borders>
  <cellStyleXfs count="93">
    <xf numFmtId="0" fontId="0" fillId="0" borderId="0"/>
    <xf numFmtId="0" fontId="2" fillId="0" borderId="0"/>
    <xf numFmtId="0" fontId="3"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applyNumberFormat="0" applyFill="0" applyBorder="0" applyAlignment="0" applyProtection="0"/>
    <xf numFmtId="0" fontId="6" fillId="0" borderId="0" applyNumberFormat="0" applyFill="0" applyBorder="0" applyAlignment="0" applyProtection="0"/>
    <xf numFmtId="0" fontId="1" fillId="0" borderId="0"/>
    <xf numFmtId="0" fontId="1"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cellStyleXfs>
  <cellXfs count="55">
    <xf numFmtId="0" fontId="0" fillId="0" borderId="0" xfId="0"/>
    <xf numFmtId="0" fontId="9" fillId="0" borderId="0" xfId="2" applyFont="1" applyAlignment="1">
      <alignment horizontal="center" vertical="center"/>
    </xf>
    <xf numFmtId="0" fontId="8" fillId="0" borderId="2" xfId="2" applyFont="1" applyFill="1" applyBorder="1" applyAlignment="1">
      <alignment horizontal="center" vertical="center" wrapText="1"/>
    </xf>
    <xf numFmtId="0" fontId="8" fillId="0" borderId="3" xfId="2" applyFont="1" applyFill="1" applyBorder="1" applyAlignment="1">
      <alignment horizontal="center" vertical="center" wrapText="1"/>
    </xf>
    <xf numFmtId="1" fontId="9" fillId="0" borderId="6" xfId="2" applyNumberFormat="1" applyFont="1" applyBorder="1" applyAlignment="1">
      <alignment horizontal="center"/>
    </xf>
    <xf numFmtId="1" fontId="9" fillId="0" borderId="9" xfId="2" applyNumberFormat="1" applyFont="1" applyBorder="1" applyAlignment="1">
      <alignment horizontal="center"/>
    </xf>
    <xf numFmtId="164" fontId="9" fillId="2" borderId="8" xfId="2" applyNumberFormat="1" applyFont="1" applyFill="1" applyBorder="1" applyAlignment="1">
      <alignment horizontal="center"/>
    </xf>
    <xf numFmtId="164" fontId="9" fillId="2" borderId="9" xfId="2" applyNumberFormat="1" applyFont="1" applyFill="1" applyBorder="1" applyAlignment="1">
      <alignment horizontal="center"/>
    </xf>
    <xf numFmtId="164" fontId="9" fillId="2" borderId="14" xfId="2" applyNumberFormat="1" applyFont="1" applyFill="1" applyBorder="1" applyAlignment="1">
      <alignment horizontal="center"/>
    </xf>
    <xf numFmtId="164" fontId="9" fillId="2" borderId="15" xfId="2" applyNumberFormat="1" applyFont="1" applyFill="1" applyBorder="1" applyAlignment="1">
      <alignment horizontal="center"/>
    </xf>
    <xf numFmtId="1" fontId="9" fillId="0" borderId="18" xfId="2" applyNumberFormat="1" applyFont="1" applyBorder="1" applyAlignment="1">
      <alignment horizontal="center"/>
    </xf>
    <xf numFmtId="164" fontId="9" fillId="2" borderId="22" xfId="2" applyNumberFormat="1" applyFont="1" applyFill="1" applyBorder="1" applyAlignment="1">
      <alignment horizontal="center"/>
    </xf>
    <xf numFmtId="164" fontId="9" fillId="2" borderId="23" xfId="2" applyNumberFormat="1" applyFont="1" applyFill="1" applyBorder="1" applyAlignment="1">
      <alignment horizontal="center"/>
    </xf>
    <xf numFmtId="0" fontId="9" fillId="0" borderId="0" xfId="2" applyFont="1" applyBorder="1" applyAlignment="1">
      <alignment horizontal="left" vertical="center"/>
    </xf>
    <xf numFmtId="0" fontId="9" fillId="0" borderId="0" xfId="2" applyFont="1" applyBorder="1" applyAlignment="1">
      <alignment horizontal="center" vertical="center"/>
    </xf>
    <xf numFmtId="0" fontId="10" fillId="0" borderId="25" xfId="2" applyFont="1" applyFill="1" applyBorder="1" applyAlignment="1">
      <alignment horizontal="center" vertical="center" wrapText="1"/>
    </xf>
    <xf numFmtId="0" fontId="10" fillId="0" borderId="2" xfId="2" applyFont="1" applyFill="1" applyBorder="1" applyAlignment="1">
      <alignment horizontal="center" vertical="center" wrapText="1"/>
    </xf>
    <xf numFmtId="0" fontId="10" fillId="0" borderId="3" xfId="2" applyFont="1" applyFill="1" applyBorder="1" applyAlignment="1">
      <alignment horizontal="center" vertical="center" wrapText="1"/>
    </xf>
    <xf numFmtId="0" fontId="9" fillId="0" borderId="0" xfId="2" applyFont="1" applyBorder="1" applyAlignment="1">
      <alignment horizontal="center" vertical="center" wrapText="1"/>
    </xf>
    <xf numFmtId="0" fontId="9" fillId="2" borderId="10" xfId="2" applyFont="1" applyFill="1" applyBorder="1" applyAlignment="1">
      <alignment horizontal="center"/>
    </xf>
    <xf numFmtId="0" fontId="9" fillId="2" borderId="6" xfId="2" applyFont="1" applyFill="1" applyBorder="1" applyAlignment="1">
      <alignment horizontal="center"/>
    </xf>
    <xf numFmtId="0" fontId="9" fillId="0" borderId="7" xfId="2" applyFont="1" applyFill="1" applyBorder="1" applyAlignment="1">
      <alignment horizontal="center"/>
    </xf>
    <xf numFmtId="1" fontId="9" fillId="0" borderId="5" xfId="2" applyNumberFormat="1" applyFont="1" applyBorder="1" applyAlignment="1">
      <alignment horizontal="center"/>
    </xf>
    <xf numFmtId="0" fontId="9" fillId="2" borderId="9" xfId="2" applyFont="1" applyFill="1" applyBorder="1" applyAlignment="1">
      <alignment horizontal="center"/>
    </xf>
    <xf numFmtId="0" fontId="9" fillId="0" borderId="4" xfId="2" applyFont="1" applyFill="1" applyBorder="1" applyAlignment="1">
      <alignment horizontal="center"/>
    </xf>
    <xf numFmtId="1" fontId="9" fillId="0" borderId="8" xfId="2" applyNumberFormat="1" applyFont="1" applyBorder="1" applyAlignment="1">
      <alignment horizontal="center"/>
    </xf>
    <xf numFmtId="2" fontId="9" fillId="0" borderId="4" xfId="2" applyNumberFormat="1" applyFont="1" applyBorder="1" applyAlignment="1">
      <alignment horizontal="center"/>
    </xf>
    <xf numFmtId="0" fontId="10" fillId="2" borderId="10" xfId="2" applyFont="1" applyFill="1" applyBorder="1" applyAlignment="1"/>
    <xf numFmtId="0" fontId="10" fillId="2" borderId="11" xfId="2" applyFont="1" applyFill="1" applyBorder="1" applyAlignment="1"/>
    <xf numFmtId="0" fontId="10" fillId="3" borderId="4" xfId="2" applyFont="1" applyFill="1" applyBorder="1" applyAlignment="1"/>
    <xf numFmtId="2" fontId="10" fillId="2" borderId="12" xfId="2" applyNumberFormat="1" applyFont="1" applyFill="1" applyBorder="1" applyAlignment="1"/>
    <xf numFmtId="2" fontId="10" fillId="2" borderId="13" xfId="2" applyNumberFormat="1" applyFont="1" applyFill="1" applyBorder="1" applyAlignment="1"/>
    <xf numFmtId="2" fontId="9" fillId="0" borderId="0" xfId="2" applyNumberFormat="1" applyFont="1" applyBorder="1" applyAlignment="1">
      <alignment horizontal="center" vertical="center"/>
    </xf>
    <xf numFmtId="0" fontId="9" fillId="2" borderId="18" xfId="2" applyFont="1" applyFill="1" applyBorder="1" applyAlignment="1">
      <alignment horizontal="center"/>
    </xf>
    <xf numFmtId="0" fontId="9" fillId="0" borderId="19" xfId="2" applyFont="1" applyFill="1" applyBorder="1" applyAlignment="1">
      <alignment horizontal="center"/>
    </xf>
    <xf numFmtId="1" fontId="9" fillId="0" borderId="17" xfId="2" applyNumberFormat="1" applyFont="1" applyBorder="1" applyAlignment="1">
      <alignment horizontal="center"/>
    </xf>
    <xf numFmtId="2" fontId="10" fillId="2" borderId="20" xfId="2" applyNumberFormat="1" applyFont="1" applyFill="1" applyBorder="1" applyAlignment="1"/>
    <xf numFmtId="2" fontId="10" fillId="2" borderId="21" xfId="2" applyNumberFormat="1" applyFont="1" applyFill="1" applyBorder="1" applyAlignment="1"/>
    <xf numFmtId="0" fontId="10" fillId="3" borderId="27" xfId="2" applyFont="1" applyFill="1" applyBorder="1" applyAlignment="1"/>
    <xf numFmtId="2" fontId="11" fillId="2" borderId="20" xfId="2" applyNumberFormat="1" applyFont="1" applyFill="1" applyBorder="1" applyAlignment="1"/>
    <xf numFmtId="2" fontId="11" fillId="2" borderId="26" xfId="2" applyNumberFormat="1" applyFont="1" applyFill="1" applyBorder="1" applyAlignment="1"/>
    <xf numFmtId="0" fontId="10" fillId="3" borderId="3" xfId="2" applyFont="1" applyFill="1" applyBorder="1" applyAlignment="1"/>
    <xf numFmtId="2" fontId="9" fillId="2" borderId="22" xfId="2" applyNumberFormat="1" applyFont="1" applyFill="1" applyBorder="1" applyAlignment="1">
      <alignment horizontal="center"/>
    </xf>
    <xf numFmtId="2" fontId="9" fillId="2" borderId="23" xfId="2" applyNumberFormat="1" applyFont="1" applyFill="1" applyBorder="1" applyAlignment="1">
      <alignment horizontal="center"/>
    </xf>
    <xf numFmtId="2" fontId="9" fillId="2" borderId="24" xfId="2" applyNumberFormat="1" applyFont="1" applyFill="1" applyBorder="1" applyAlignment="1">
      <alignment horizontal="center"/>
    </xf>
    <xf numFmtId="167" fontId="9" fillId="0" borderId="0" xfId="2" applyNumberFormat="1" applyFont="1" applyBorder="1" applyAlignment="1">
      <alignment horizontal="center" vertical="center"/>
    </xf>
    <xf numFmtId="164" fontId="9" fillId="0" borderId="0" xfId="2" applyNumberFormat="1" applyFont="1" applyBorder="1" applyAlignment="1">
      <alignment horizontal="center" vertical="center"/>
    </xf>
    <xf numFmtId="0" fontId="12" fillId="0" borderId="0" xfId="0" applyFont="1" applyAlignment="1">
      <alignment vertical="center" wrapText="1"/>
    </xf>
    <xf numFmtId="0" fontId="9" fillId="0" borderId="0" xfId="2" applyFont="1" applyAlignment="1">
      <alignment horizontal="left" vertical="center"/>
    </xf>
    <xf numFmtId="2" fontId="9" fillId="0" borderId="7" xfId="2" applyNumberFormat="1" applyFont="1" applyBorder="1" applyAlignment="1">
      <alignment horizontal="center"/>
    </xf>
    <xf numFmtId="2" fontId="9" fillId="2" borderId="4" xfId="2" applyNumberFormat="1" applyFont="1" applyFill="1" applyBorder="1" applyAlignment="1">
      <alignment horizontal="center"/>
    </xf>
    <xf numFmtId="2" fontId="9" fillId="2" borderId="16" xfId="2" applyNumberFormat="1" applyFont="1" applyFill="1" applyBorder="1" applyAlignment="1">
      <alignment horizontal="center"/>
    </xf>
    <xf numFmtId="2" fontId="9" fillId="0" borderId="19" xfId="2" applyNumberFormat="1" applyFont="1" applyBorder="1" applyAlignment="1">
      <alignment horizontal="center"/>
    </xf>
    <xf numFmtId="166" fontId="9" fillId="2" borderId="24" xfId="2" applyNumberFormat="1" applyFont="1" applyFill="1" applyBorder="1" applyAlignment="1">
      <alignment horizontal="center"/>
    </xf>
    <xf numFmtId="0" fontId="8" fillId="0" borderId="1" xfId="0" applyFont="1" applyBorder="1" applyAlignment="1">
      <alignment vertical="center" wrapText="1"/>
    </xf>
  </cellXfs>
  <cellStyles count="93">
    <cellStyle name="Followed Hyperlink" xfId="12"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Hyperlink" xfId="11"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Normal" xfId="0" builtinId="0"/>
    <cellStyle name="Normal 2" xfId="1"/>
    <cellStyle name="Normal 2 2" xfId="2"/>
    <cellStyle name="Normal 2 3" xfId="3"/>
    <cellStyle name="Normal 2 4" xfId="4"/>
    <cellStyle name="Normal 2 5" xfId="5"/>
    <cellStyle name="Normal 2 6" xfId="6"/>
    <cellStyle name="Normal 2 6 2" xfId="14"/>
    <cellStyle name="Normal 3" xfId="7"/>
    <cellStyle name="Normal 3 2" xfId="8"/>
    <cellStyle name="Normal 3 3" xfId="9"/>
    <cellStyle name="Normal 3 4" xfId="10"/>
    <cellStyle name="Normal 3 5" xfId="13"/>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5"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B1:FR36"/>
  <sheetViews>
    <sheetView tabSelected="1" workbookViewId="0">
      <selection activeCell="A2" sqref="A2"/>
    </sheetView>
  </sheetViews>
  <sheetFormatPr baseColWidth="10" defaultColWidth="12.5" defaultRowHeight="15" x14ac:dyDescent="0"/>
  <cols>
    <col min="1" max="1" width="4.1640625" style="14" customWidth="1"/>
    <col min="2" max="2" width="14.1640625" style="1" customWidth="1"/>
    <col min="3" max="3" width="16" style="14" customWidth="1"/>
    <col min="4" max="4" width="11.1640625" style="14" customWidth="1"/>
    <col min="5" max="5" width="20.6640625" style="14" customWidth="1"/>
    <col min="6" max="6" width="22" style="14" customWidth="1"/>
    <col min="7" max="7" width="27.5" style="14" customWidth="1"/>
    <col min="8" max="8" width="13.5" style="1" customWidth="1"/>
    <col min="9" max="96" width="12.5" style="1"/>
    <col min="97" max="16384" width="12.5" style="14"/>
  </cols>
  <sheetData>
    <row r="1" spans="2:174">
      <c r="B1" s="13"/>
      <c r="C1" s="13"/>
      <c r="D1" s="13"/>
      <c r="E1" s="13"/>
      <c r="F1" s="13"/>
      <c r="G1" s="13"/>
    </row>
    <row r="2" spans="2:174" s="1" customFormat="1" ht="89" customHeight="1" thickBot="1">
      <c r="B2" s="54" t="s">
        <v>33</v>
      </c>
      <c r="C2" s="54"/>
      <c r="D2" s="54"/>
      <c r="E2" s="54"/>
      <c r="F2" s="54"/>
      <c r="G2" s="54"/>
    </row>
    <row r="3" spans="2:174" s="18" customFormat="1" ht="67" customHeight="1" thickBot="1">
      <c r="B3" s="15" t="s">
        <v>22</v>
      </c>
      <c r="C3" s="16" t="s">
        <v>23</v>
      </c>
      <c r="D3" s="17" t="s">
        <v>27</v>
      </c>
      <c r="E3" s="2" t="s">
        <v>30</v>
      </c>
      <c r="F3" s="2" t="s">
        <v>31</v>
      </c>
      <c r="G3" s="3" t="s">
        <v>32</v>
      </c>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4"/>
      <c r="CO3" s="14"/>
      <c r="CP3" s="14"/>
      <c r="CQ3" s="14"/>
      <c r="CR3" s="14"/>
      <c r="CS3" s="14"/>
      <c r="CT3" s="14"/>
      <c r="CU3" s="14"/>
      <c r="CV3" s="14"/>
      <c r="CW3" s="14"/>
      <c r="CX3" s="14"/>
      <c r="CY3" s="14"/>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14"/>
      <c r="EM3" s="14"/>
      <c r="EN3" s="14"/>
      <c r="EO3" s="14"/>
      <c r="EP3" s="14"/>
      <c r="EQ3" s="14"/>
      <c r="ER3" s="14"/>
      <c r="ES3" s="14"/>
      <c r="ET3" s="14"/>
      <c r="EU3" s="14"/>
      <c r="EV3" s="14"/>
      <c r="EW3" s="14"/>
      <c r="EX3" s="14"/>
      <c r="EY3" s="14"/>
      <c r="EZ3" s="14"/>
      <c r="FA3" s="14"/>
      <c r="FB3" s="14"/>
      <c r="FC3" s="14"/>
      <c r="FD3" s="14"/>
      <c r="FE3" s="14"/>
      <c r="FF3" s="14"/>
      <c r="FG3" s="14"/>
      <c r="FH3" s="14"/>
      <c r="FI3" s="14"/>
      <c r="FJ3" s="14"/>
      <c r="FK3" s="14"/>
      <c r="FL3" s="14"/>
      <c r="FM3" s="14"/>
      <c r="FN3" s="14"/>
      <c r="FO3" s="14"/>
      <c r="FP3" s="14"/>
      <c r="FQ3" s="14"/>
      <c r="FR3" s="14"/>
    </row>
    <row r="4" spans="2:174" ht="16" customHeight="1">
      <c r="B4" s="19" t="s">
        <v>3</v>
      </c>
      <c r="C4" s="20" t="s">
        <v>0</v>
      </c>
      <c r="D4" s="21" t="s">
        <v>28</v>
      </c>
      <c r="E4" s="22">
        <v>7444</v>
      </c>
      <c r="F4" s="4">
        <v>123</v>
      </c>
      <c r="G4" s="49">
        <v>1.6523374529822676</v>
      </c>
      <c r="CN4" s="14"/>
      <c r="CO4" s="14"/>
      <c r="CP4" s="14"/>
      <c r="CQ4" s="14"/>
      <c r="CR4" s="14"/>
    </row>
    <row r="5" spans="2:174" ht="16" customHeight="1">
      <c r="B5" s="19" t="s">
        <v>4</v>
      </c>
      <c r="C5" s="23" t="s">
        <v>0</v>
      </c>
      <c r="D5" s="24" t="s">
        <v>28</v>
      </c>
      <c r="E5" s="25">
        <v>9918</v>
      </c>
      <c r="F5" s="5">
        <v>99</v>
      </c>
      <c r="G5" s="26">
        <v>0.99818511796733211</v>
      </c>
      <c r="CN5" s="14"/>
      <c r="CO5" s="14"/>
      <c r="CP5" s="14"/>
      <c r="CQ5" s="14"/>
      <c r="CR5" s="14"/>
    </row>
    <row r="6" spans="2:174" ht="16" customHeight="1">
      <c r="B6" s="19" t="s">
        <v>7</v>
      </c>
      <c r="C6" s="23" t="s">
        <v>0</v>
      </c>
      <c r="D6" s="24" t="s">
        <v>28</v>
      </c>
      <c r="E6" s="25">
        <v>12672</v>
      </c>
      <c r="F6" s="5">
        <v>221</v>
      </c>
      <c r="G6" s="26">
        <v>1.7440025252525253</v>
      </c>
      <c r="CN6" s="14"/>
      <c r="CO6" s="14"/>
      <c r="CP6" s="14"/>
      <c r="CQ6" s="14"/>
      <c r="CR6" s="14"/>
    </row>
    <row r="7" spans="2:174" ht="16" customHeight="1">
      <c r="B7" s="19" t="s">
        <v>8</v>
      </c>
      <c r="C7" s="23" t="s">
        <v>0</v>
      </c>
      <c r="D7" s="24" t="s">
        <v>28</v>
      </c>
      <c r="E7" s="25">
        <v>15619</v>
      </c>
      <c r="F7" s="5">
        <v>157</v>
      </c>
      <c r="G7" s="26">
        <v>1.0051859914207055</v>
      </c>
      <c r="CN7" s="14"/>
      <c r="CO7" s="14"/>
      <c r="CP7" s="14"/>
      <c r="CQ7" s="14"/>
      <c r="CR7" s="14"/>
    </row>
    <row r="8" spans="2:174" ht="16" customHeight="1">
      <c r="B8" s="19" t="s">
        <v>11</v>
      </c>
      <c r="C8" s="23" t="s">
        <v>0</v>
      </c>
      <c r="D8" s="24" t="s">
        <v>28</v>
      </c>
      <c r="E8" s="25">
        <v>4570</v>
      </c>
      <c r="F8" s="5">
        <v>65</v>
      </c>
      <c r="G8" s="26">
        <v>1.4223194748358863</v>
      </c>
      <c r="CN8" s="14"/>
      <c r="CO8" s="14"/>
      <c r="CP8" s="14"/>
      <c r="CQ8" s="14"/>
      <c r="CR8" s="14"/>
    </row>
    <row r="9" spans="2:174" ht="16" customHeight="1">
      <c r="B9" s="19" t="s">
        <v>13</v>
      </c>
      <c r="C9" s="23" t="s">
        <v>0</v>
      </c>
      <c r="D9" s="24" t="s">
        <v>28</v>
      </c>
      <c r="E9" s="25">
        <v>12610</v>
      </c>
      <c r="F9" s="5">
        <v>111</v>
      </c>
      <c r="G9" s="26">
        <v>0.88025376685170498</v>
      </c>
      <c r="CN9" s="14"/>
      <c r="CO9" s="14"/>
      <c r="CP9" s="14"/>
      <c r="CQ9" s="14"/>
      <c r="CR9" s="14"/>
    </row>
    <row r="10" spans="2:174" ht="16" customHeight="1">
      <c r="B10" s="19" t="s">
        <v>15</v>
      </c>
      <c r="C10" s="23" t="s">
        <v>0</v>
      </c>
      <c r="D10" s="24" t="s">
        <v>28</v>
      </c>
      <c r="E10" s="25">
        <v>12983</v>
      </c>
      <c r="F10" s="5">
        <v>168</v>
      </c>
      <c r="G10" s="26">
        <v>1.2939998459523994</v>
      </c>
      <c r="CN10" s="14"/>
      <c r="CO10" s="14"/>
      <c r="CP10" s="14"/>
      <c r="CQ10" s="14"/>
      <c r="CR10" s="14"/>
    </row>
    <row r="11" spans="2:174" ht="16" customHeight="1">
      <c r="B11" s="19" t="s">
        <v>16</v>
      </c>
      <c r="C11" s="23" t="s">
        <v>0</v>
      </c>
      <c r="D11" s="24" t="s">
        <v>28</v>
      </c>
      <c r="E11" s="25">
        <v>24888</v>
      </c>
      <c r="F11" s="5">
        <v>324</v>
      </c>
      <c r="G11" s="26">
        <v>1.3018322082931533</v>
      </c>
      <c r="CN11" s="14"/>
      <c r="CO11" s="14"/>
      <c r="CP11" s="14"/>
      <c r="CQ11" s="14"/>
      <c r="CR11" s="14"/>
    </row>
    <row r="12" spans="2:174" ht="16" customHeight="1">
      <c r="B12" s="19" t="s">
        <v>17</v>
      </c>
      <c r="C12" s="23" t="s">
        <v>0</v>
      </c>
      <c r="D12" s="24" t="s">
        <v>28</v>
      </c>
      <c r="E12" s="25">
        <v>21600</v>
      </c>
      <c r="F12" s="5">
        <v>404</v>
      </c>
      <c r="G12" s="26">
        <v>1.8703703703703705</v>
      </c>
      <c r="CN12" s="14"/>
      <c r="CO12" s="14"/>
      <c r="CP12" s="14"/>
      <c r="CQ12" s="14"/>
      <c r="CR12" s="14"/>
    </row>
    <row r="13" spans="2:174" ht="16" customHeight="1">
      <c r="B13" s="19" t="s">
        <v>19</v>
      </c>
      <c r="C13" s="23" t="s">
        <v>0</v>
      </c>
      <c r="D13" s="24" t="s">
        <v>28</v>
      </c>
      <c r="E13" s="25">
        <v>15106</v>
      </c>
      <c r="F13" s="5">
        <v>248</v>
      </c>
      <c r="G13" s="26">
        <v>1.6417317622136898</v>
      </c>
      <c r="CN13" s="14"/>
      <c r="CO13" s="14"/>
      <c r="CP13" s="14"/>
      <c r="CQ13" s="14"/>
      <c r="CR13" s="14"/>
    </row>
    <row r="14" spans="2:174" ht="16" customHeight="1">
      <c r="B14" s="27" t="s">
        <v>24</v>
      </c>
      <c r="C14" s="28"/>
      <c r="D14" s="29"/>
      <c r="E14" s="6">
        <f>AVERAGE(E4:E13)</f>
        <v>13741</v>
      </c>
      <c r="F14" s="7">
        <f t="shared" ref="F14:G14" si="0">AVERAGE(F4:F13)</f>
        <v>192</v>
      </c>
      <c r="G14" s="50">
        <f t="shared" si="0"/>
        <v>1.3810218516140034</v>
      </c>
      <c r="CN14" s="14"/>
      <c r="CO14" s="14"/>
      <c r="CP14" s="14"/>
      <c r="CQ14" s="14"/>
      <c r="CR14" s="14"/>
    </row>
    <row r="15" spans="2:174" ht="16" customHeight="1">
      <c r="B15" s="27" t="s">
        <v>25</v>
      </c>
      <c r="C15" s="28"/>
      <c r="D15" s="29"/>
      <c r="E15" s="6">
        <f>STDEVA(E4:E13)</f>
        <v>6080.7607711170112</v>
      </c>
      <c r="F15" s="7">
        <f t="shared" ref="F15:G15" si="1">STDEVA(F4:F13)</f>
        <v>107.62383048790305</v>
      </c>
      <c r="G15" s="50">
        <f t="shared" si="1"/>
        <v>0.34430821321572808</v>
      </c>
      <c r="CN15" s="14"/>
      <c r="CO15" s="14"/>
      <c r="CP15" s="14"/>
      <c r="CQ15" s="14"/>
      <c r="CR15" s="14"/>
    </row>
    <row r="16" spans="2:174" s="32" customFormat="1" ht="16" customHeight="1" thickBot="1">
      <c r="B16" s="30" t="s">
        <v>26</v>
      </c>
      <c r="C16" s="31"/>
      <c r="D16" s="29"/>
      <c r="E16" s="8">
        <f>E15/(SQRT(10))</f>
        <v>1922.9053943331571</v>
      </c>
      <c r="F16" s="9">
        <f t="shared" ref="F16:G16" si="2">F15/(SQRT(10))</f>
        <v>34.033643485364429</v>
      </c>
      <c r="G16" s="51">
        <f t="shared" si="2"/>
        <v>0.1088798170864588</v>
      </c>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4"/>
      <c r="CO16" s="14"/>
      <c r="CP16" s="14"/>
      <c r="CQ16" s="14"/>
      <c r="CR16" s="14"/>
      <c r="CS16" s="14"/>
      <c r="CT16" s="14"/>
      <c r="CU16" s="14"/>
      <c r="CV16" s="14"/>
      <c r="CW16" s="14"/>
      <c r="CX16" s="14"/>
      <c r="CY16" s="14"/>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14"/>
      <c r="EM16" s="14"/>
      <c r="EN16" s="14"/>
      <c r="EO16" s="14"/>
      <c r="EP16" s="14"/>
      <c r="EQ16" s="14"/>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row>
    <row r="17" spans="2:174" ht="16" customHeight="1" thickTop="1">
      <c r="B17" s="19" t="s">
        <v>2</v>
      </c>
      <c r="C17" s="33" t="s">
        <v>1</v>
      </c>
      <c r="D17" s="34" t="s">
        <v>28</v>
      </c>
      <c r="E17" s="35">
        <v>6286</v>
      </c>
      <c r="F17" s="10">
        <v>89</v>
      </c>
      <c r="G17" s="52">
        <v>1.4158447343302576</v>
      </c>
      <c r="CN17" s="14"/>
      <c r="CO17" s="14"/>
      <c r="CP17" s="14"/>
      <c r="CQ17" s="14"/>
      <c r="CR17" s="14"/>
    </row>
    <row r="18" spans="2:174" ht="16" customHeight="1">
      <c r="B18" s="19" t="s">
        <v>5</v>
      </c>
      <c r="C18" s="23" t="s">
        <v>1</v>
      </c>
      <c r="D18" s="24" t="s">
        <v>28</v>
      </c>
      <c r="E18" s="25">
        <v>26060</v>
      </c>
      <c r="F18" s="5">
        <v>479</v>
      </c>
      <c r="G18" s="26">
        <v>1.8380660015349195</v>
      </c>
      <c r="CN18" s="14"/>
      <c r="CO18" s="14"/>
      <c r="CP18" s="14"/>
      <c r="CQ18" s="14"/>
      <c r="CR18" s="14"/>
    </row>
    <row r="19" spans="2:174" ht="16" customHeight="1">
      <c r="B19" s="19" t="s">
        <v>6</v>
      </c>
      <c r="C19" s="23" t="s">
        <v>1</v>
      </c>
      <c r="D19" s="24" t="s">
        <v>28</v>
      </c>
      <c r="E19" s="25">
        <v>7117</v>
      </c>
      <c r="F19" s="5">
        <v>148</v>
      </c>
      <c r="G19" s="26">
        <v>2.0795278909652946</v>
      </c>
      <c r="CN19" s="14"/>
      <c r="CO19" s="14"/>
      <c r="CP19" s="14"/>
      <c r="CQ19" s="14"/>
      <c r="CR19" s="14"/>
    </row>
    <row r="20" spans="2:174" ht="16" customHeight="1">
      <c r="B20" s="19" t="s">
        <v>9</v>
      </c>
      <c r="C20" s="23" t="s">
        <v>1</v>
      </c>
      <c r="D20" s="24" t="s">
        <v>28</v>
      </c>
      <c r="E20" s="25">
        <v>20523</v>
      </c>
      <c r="F20" s="5">
        <v>409</v>
      </c>
      <c r="G20" s="26">
        <v>1.99288603030746</v>
      </c>
      <c r="CN20" s="14"/>
      <c r="CO20" s="14"/>
      <c r="CP20" s="14"/>
      <c r="CQ20" s="14"/>
      <c r="CR20" s="14"/>
    </row>
    <row r="21" spans="2:174" ht="16" customHeight="1">
      <c r="B21" s="19" t="s">
        <v>10</v>
      </c>
      <c r="C21" s="23" t="s">
        <v>1</v>
      </c>
      <c r="D21" s="24" t="s">
        <v>28</v>
      </c>
      <c r="E21" s="25">
        <v>17931</v>
      </c>
      <c r="F21" s="5">
        <v>316</v>
      </c>
      <c r="G21" s="26">
        <v>1.7623110813674643</v>
      </c>
      <c r="CN21" s="14"/>
      <c r="CO21" s="14"/>
      <c r="CP21" s="14"/>
      <c r="CQ21" s="14"/>
      <c r="CR21" s="14"/>
    </row>
    <row r="22" spans="2:174" ht="16" customHeight="1">
      <c r="B22" s="19" t="s">
        <v>12</v>
      </c>
      <c r="C22" s="23" t="s">
        <v>1</v>
      </c>
      <c r="D22" s="24" t="s">
        <v>28</v>
      </c>
      <c r="E22" s="25">
        <v>21238</v>
      </c>
      <c r="F22" s="5">
        <v>391</v>
      </c>
      <c r="G22" s="26">
        <v>1.8410396459176945</v>
      </c>
      <c r="CN22" s="14"/>
      <c r="CO22" s="14"/>
      <c r="CP22" s="14"/>
      <c r="CQ22" s="14"/>
      <c r="CR22" s="14"/>
    </row>
    <row r="23" spans="2:174" ht="16" customHeight="1">
      <c r="B23" s="19" t="s">
        <v>14</v>
      </c>
      <c r="C23" s="23" t="s">
        <v>1</v>
      </c>
      <c r="D23" s="24" t="s">
        <v>28</v>
      </c>
      <c r="E23" s="25">
        <v>16210</v>
      </c>
      <c r="F23" s="5">
        <v>415</v>
      </c>
      <c r="G23" s="26">
        <v>2.5601480567550894</v>
      </c>
      <c r="CN23" s="14"/>
      <c r="CO23" s="14"/>
      <c r="CP23" s="14"/>
      <c r="CQ23" s="14"/>
      <c r="CR23" s="14"/>
    </row>
    <row r="24" spans="2:174" ht="16" customHeight="1">
      <c r="B24" s="19" t="s">
        <v>18</v>
      </c>
      <c r="C24" s="23" t="s">
        <v>1</v>
      </c>
      <c r="D24" s="24" t="s">
        <v>28</v>
      </c>
      <c r="E24" s="25">
        <v>25315</v>
      </c>
      <c r="F24" s="5">
        <v>631</v>
      </c>
      <c r="G24" s="26">
        <v>2.4925933241161364</v>
      </c>
      <c r="CN24" s="14"/>
      <c r="CO24" s="14"/>
      <c r="CP24" s="14"/>
      <c r="CQ24" s="14"/>
      <c r="CR24" s="14"/>
    </row>
    <row r="25" spans="2:174" ht="16" customHeight="1">
      <c r="B25" s="19" t="s">
        <v>20</v>
      </c>
      <c r="C25" s="23" t="s">
        <v>1</v>
      </c>
      <c r="D25" s="24" t="s">
        <v>28</v>
      </c>
      <c r="E25" s="25">
        <v>23412</v>
      </c>
      <c r="F25" s="5">
        <v>446</v>
      </c>
      <c r="G25" s="26">
        <v>1.9050059798393988</v>
      </c>
      <c r="CN25" s="14"/>
      <c r="CO25" s="14"/>
      <c r="CP25" s="14"/>
      <c r="CQ25" s="14"/>
      <c r="CR25" s="14"/>
    </row>
    <row r="26" spans="2:174" ht="16" customHeight="1">
      <c r="B26" s="19" t="s">
        <v>21</v>
      </c>
      <c r="C26" s="23" t="s">
        <v>1</v>
      </c>
      <c r="D26" s="24" t="s">
        <v>28</v>
      </c>
      <c r="E26" s="25">
        <v>19631</v>
      </c>
      <c r="F26" s="5">
        <v>435</v>
      </c>
      <c r="G26" s="26">
        <v>2.2158830421272477</v>
      </c>
      <c r="CN26" s="14"/>
      <c r="CO26" s="14"/>
      <c r="CP26" s="14"/>
      <c r="CQ26" s="14"/>
      <c r="CR26" s="14"/>
    </row>
    <row r="27" spans="2:174" ht="16" customHeight="1">
      <c r="B27" s="27" t="s">
        <v>24</v>
      </c>
      <c r="C27" s="28"/>
      <c r="D27" s="29"/>
      <c r="E27" s="6">
        <f>AVERAGE(E17:E26)</f>
        <v>18372.3</v>
      </c>
      <c r="F27" s="7">
        <f t="shared" ref="F27:G27" si="3">AVERAGE(F17:F26)</f>
        <v>375.9</v>
      </c>
      <c r="G27" s="50">
        <f t="shared" si="3"/>
        <v>2.0103305787260966</v>
      </c>
      <c r="CN27" s="14"/>
      <c r="CO27" s="14"/>
      <c r="CP27" s="14"/>
      <c r="CQ27" s="14"/>
      <c r="CR27" s="14"/>
    </row>
    <row r="28" spans="2:174" ht="16" customHeight="1">
      <c r="B28" s="27" t="s">
        <v>25</v>
      </c>
      <c r="C28" s="28"/>
      <c r="D28" s="29"/>
      <c r="E28" s="6">
        <f>STDEVA(E17:E26)</f>
        <v>6869.8469665957209</v>
      </c>
      <c r="F28" s="7">
        <f t="shared" ref="F28:G28" si="4">STDEVA(F17:F26)</f>
        <v>158.04461395441476</v>
      </c>
      <c r="G28" s="50">
        <f t="shared" si="4"/>
        <v>0.3442505347550015</v>
      </c>
      <c r="CN28" s="14"/>
      <c r="CO28" s="14"/>
      <c r="CP28" s="14"/>
      <c r="CQ28" s="14"/>
      <c r="CR28" s="14"/>
    </row>
    <row r="29" spans="2:174" s="32" customFormat="1" ht="16" customHeight="1" thickBot="1">
      <c r="B29" s="36" t="s">
        <v>26</v>
      </c>
      <c r="C29" s="37"/>
      <c r="D29" s="38"/>
      <c r="E29" s="11">
        <f>E28/(SQRT(10))</f>
        <v>2172.4363591241154</v>
      </c>
      <c r="F29" s="12">
        <f t="shared" ref="F29:G29" si="5">F28/(SQRT(10))</f>
        <v>49.978095201798148</v>
      </c>
      <c r="G29" s="44">
        <f t="shared" si="5"/>
        <v>0.10886157755567594</v>
      </c>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4"/>
      <c r="CO29" s="14"/>
      <c r="CP29" s="14"/>
      <c r="CQ29" s="14"/>
      <c r="CR29" s="14"/>
      <c r="CS29" s="14"/>
      <c r="CT29" s="14"/>
      <c r="CU29" s="14"/>
      <c r="CV29" s="14"/>
      <c r="CW29" s="14"/>
      <c r="CX29" s="14"/>
      <c r="CY29" s="14"/>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14"/>
      <c r="EM29" s="14"/>
      <c r="EN29" s="14"/>
      <c r="EO29" s="14"/>
      <c r="EP29" s="14"/>
      <c r="EQ29" s="14"/>
      <c r="ER29" s="14"/>
      <c r="ES29" s="14"/>
      <c r="ET29" s="14"/>
      <c r="EU29" s="14"/>
      <c r="EV29" s="14"/>
      <c r="EW29" s="14"/>
      <c r="EX29" s="14"/>
      <c r="EY29" s="14"/>
      <c r="EZ29" s="14"/>
      <c r="FA29" s="14"/>
      <c r="FB29" s="14"/>
      <c r="FC29" s="14"/>
      <c r="FD29" s="14"/>
      <c r="FE29" s="14"/>
      <c r="FF29" s="14"/>
      <c r="FG29" s="14"/>
      <c r="FH29" s="14"/>
      <c r="FI29" s="14"/>
      <c r="FJ29" s="14"/>
      <c r="FK29" s="14"/>
      <c r="FL29" s="14"/>
      <c r="FM29" s="14"/>
      <c r="FN29" s="14"/>
      <c r="FO29" s="14"/>
      <c r="FP29" s="14"/>
      <c r="FQ29" s="14"/>
      <c r="FR29" s="14"/>
    </row>
    <row r="30" spans="2:174" ht="16" thickBot="1">
      <c r="B30" s="39" t="s">
        <v>29</v>
      </c>
      <c r="C30" s="40"/>
      <c r="D30" s="41"/>
      <c r="E30" s="42">
        <f>TTEST(E4:E13,E17:E26,2,3)</f>
        <v>0.12807569313883874</v>
      </c>
      <c r="F30" s="43">
        <f t="shared" ref="F30:G30" si="6">TTEST(F4:F13,F17:F26,2,3)</f>
        <v>7.834529871125831E-3</v>
      </c>
      <c r="G30" s="53">
        <f t="shared" si="6"/>
        <v>6.9146967854753023E-4</v>
      </c>
    </row>
    <row r="31" spans="2:174">
      <c r="E31" s="45"/>
      <c r="F31" s="45"/>
      <c r="G31" s="45"/>
    </row>
    <row r="32" spans="2:174">
      <c r="E32" s="46"/>
      <c r="F32" s="46"/>
      <c r="G32" s="46"/>
    </row>
    <row r="33" spans="2:7">
      <c r="B33" s="47"/>
      <c r="C33" s="47"/>
      <c r="D33" s="47"/>
      <c r="E33" s="47"/>
      <c r="F33" s="47"/>
      <c r="G33" s="47"/>
    </row>
    <row r="36" spans="2:7">
      <c r="B36" s="48"/>
    </row>
  </sheetData>
  <mergeCells count="1">
    <mergeCell ref="B2:G2"/>
  </mergeCells>
  <pageMargins left="0.75" right="0.75" top="0.5" bottom="0" header="0" footer="0"/>
  <pageSetup scale="38" orientation="portrait" horizontalDpi="4294967292" verticalDpi="4294967292"/>
  <headerFooter>
    <oddFooter>&amp;R&amp;"Arial,Regular"&amp;16&amp;K808080&amp;[37</oddFooter>
  </headerFooter>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Suppl Table 7</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Cox</dc:creator>
  <cp:lastModifiedBy>Aaron Cox</cp:lastModifiedBy>
  <dcterms:created xsi:type="dcterms:W3CDTF">2015-11-02T23:26:35Z</dcterms:created>
  <dcterms:modified xsi:type="dcterms:W3CDTF">2016-04-24T14:40:18Z</dcterms:modified>
</cp:coreProperties>
</file>